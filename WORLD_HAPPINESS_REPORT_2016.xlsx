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WORKING_DATA" sheetId="2" r:id="rId6"/>
    <sheet state="visible" name="PIVOT_TOP_TEN_HAPPIEST_COUNTRIE" sheetId="3" r:id="rId7"/>
    <sheet state="visible" name="SUMMARY" sheetId="4" r:id="rId8"/>
    <sheet state="visible" name="DASHBOARD 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<sst xmlns="http://schemas.openxmlformats.org/spreadsheetml/2006/main" count="720" uniqueCount="219">
  <si>
    <t>Country</t>
  </si>
  <si>
    <t>Region</t>
  </si>
  <si>
    <t>Happiness Rank</t>
  </si>
  <si>
    <t>Happiness Score</t>
  </si>
  <si>
    <t>Lower Confidence Interval</t>
  </si>
  <si>
    <t>Upper Confidence Interval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</si>
  <si>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</si>
  <si>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</si>
  <si>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</si>
  <si>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</si>
  <si>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</si>
  <si>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</si>
  <si>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</si>
  <si>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Denmark</t>
  </si>
  <si>
    <t>Western Europe</t>
  </si>
  <si>
    <t>Switzerland</t>
  </si>
  <si>
    <t>Iceland</t>
  </si>
  <si>
    <t>Norway</t>
  </si>
  <si>
    <t>Finland</t>
  </si>
  <si>
    <t>Canada</t>
  </si>
  <si>
    <t>North America</t>
  </si>
  <si>
    <t>Netherlands</t>
  </si>
  <si>
    <t>New Zealand</t>
  </si>
  <si>
    <t>Australia and New Zealand</t>
  </si>
  <si>
    <t>Australia</t>
  </si>
  <si>
    <t>Sweden</t>
  </si>
  <si>
    <t>Israel</t>
  </si>
  <si>
    <t>Middle East and Northern Africa</t>
  </si>
  <si>
    <t>Austria</t>
  </si>
  <si>
    <t>United States</t>
  </si>
  <si>
    <t>Costa Rica</t>
  </si>
  <si>
    <t>Latin America and Caribbean</t>
  </si>
  <si>
    <t>Puerto Rico</t>
  </si>
  <si>
    <t>Germany</t>
  </si>
  <si>
    <t>Brazil</t>
  </si>
  <si>
    <t>Belgium</t>
  </si>
  <si>
    <t>Ireland</t>
  </si>
  <si>
    <t>Luxembourg</t>
  </si>
  <si>
    <t>Mexico</t>
  </si>
  <si>
    <t>Singapore</t>
  </si>
  <si>
    <t>Southeastern Asia</t>
  </si>
  <si>
    <t>United Kingdom</t>
  </si>
  <si>
    <t>Chile</t>
  </si>
  <si>
    <t>Panama</t>
  </si>
  <si>
    <t>Argentina</t>
  </si>
  <si>
    <t>Czech Republic</t>
  </si>
  <si>
    <t>Central and Eastern Europe</t>
  </si>
  <si>
    <t>United Arab Emirates</t>
  </si>
  <si>
    <t>Uruguay</t>
  </si>
  <si>
    <t>Malta</t>
  </si>
  <si>
    <t>Colombia</t>
  </si>
  <si>
    <t>France</t>
  </si>
  <si>
    <t>Thailand</t>
  </si>
  <si>
    <t>Saudi Arabia</t>
  </si>
  <si>
    <t>Taiwan</t>
  </si>
  <si>
    <t>Eastern Asia</t>
  </si>
  <si>
    <t>Qatar</t>
  </si>
  <si>
    <t>Spain</t>
  </si>
  <si>
    <t>Algeria</t>
  </si>
  <si>
    <t>Guatemala</t>
  </si>
  <si>
    <t>Suriname</t>
  </si>
  <si>
    <t>Kuwait</t>
  </si>
  <si>
    <t>Bahrain</t>
  </si>
  <si>
    <t>Trinidad and Tobago</t>
  </si>
  <si>
    <t>Venezuela</t>
  </si>
  <si>
    <t>Slovakia</t>
  </si>
  <si>
    <t>El Salvador</t>
  </si>
  <si>
    <t>Malaysia</t>
  </si>
  <si>
    <t>Nicaragua</t>
  </si>
  <si>
    <t>Uzbekistan</t>
  </si>
  <si>
    <t>Italy</t>
  </si>
  <si>
    <t>Ecuador</t>
  </si>
  <si>
    <t>Belize</t>
  </si>
  <si>
    <t>Japan</t>
  </si>
  <si>
    <t>Kazakhstan</t>
  </si>
  <si>
    <t>Moldova</t>
  </si>
  <si>
    <t>Russia</t>
  </si>
  <si>
    <t>Poland</t>
  </si>
  <si>
    <t>South Korea</t>
  </si>
  <si>
    <t>Bolivia</t>
  </si>
  <si>
    <t>Lithuania</t>
  </si>
  <si>
    <t>Belarus</t>
  </si>
  <si>
    <t>North Cyprus</t>
  </si>
  <si>
    <t>Slovenia</t>
  </si>
  <si>
    <t>Peru</t>
  </si>
  <si>
    <t>Turkmenistan</t>
  </si>
  <si>
    <t>Mauritius</t>
  </si>
  <si>
    <t>Sub-Saharan Africa</t>
  </si>
  <si>
    <t>Libya</t>
  </si>
  <si>
    <t>Latvia</t>
  </si>
  <si>
    <t>Cyprus</t>
  </si>
  <si>
    <t>Paraguay</t>
  </si>
  <si>
    <t>Romania</t>
  </si>
  <si>
    <t>Estonia</t>
  </si>
  <si>
    <t>Jamaica</t>
  </si>
  <si>
    <t>Croatia</t>
  </si>
  <si>
    <t>Hong Kong</t>
  </si>
  <si>
    <t>Somalia</t>
  </si>
  <si>
    <t>Kosovo</t>
  </si>
  <si>
    <t>Turkey</t>
  </si>
  <si>
    <t>Indonesia</t>
  </si>
  <si>
    <t>Jordan</t>
  </si>
  <si>
    <t>Azerbaijan</t>
  </si>
  <si>
    <t>Philippines</t>
  </si>
  <si>
    <t>China</t>
  </si>
  <si>
    <t>Bhutan</t>
  </si>
  <si>
    <t>Southern Asia</t>
  </si>
  <si>
    <t>Kyrgyzstan</t>
  </si>
  <si>
    <t>Serbia</t>
  </si>
  <si>
    <t>Bosnia and Herzegovina</t>
  </si>
  <si>
    <t>Montenegro</t>
  </si>
  <si>
    <t>Dominican Republic</t>
  </si>
  <si>
    <t>Morocco</t>
  </si>
  <si>
    <t>Hungary</t>
  </si>
  <si>
    <t>Pakistan</t>
  </si>
  <si>
    <t>Lebanon</t>
  </si>
  <si>
    <t>Portugal</t>
  </si>
  <si>
    <t>Macedonia</t>
  </si>
  <si>
    <t>Vietnam</t>
  </si>
  <si>
    <t>Somaliland Region</t>
  </si>
  <si>
    <t>Tunisia</t>
  </si>
  <si>
    <t>Greece</t>
  </si>
  <si>
    <t>Tajikistan</t>
  </si>
  <si>
    <t>Mongolia</t>
  </si>
  <si>
    <t>Laos</t>
  </si>
  <si>
    <t>Nigeria</t>
  </si>
  <si>
    <t>Honduras</t>
  </si>
  <si>
    <t>Iran</t>
  </si>
  <si>
    <t>Zambia</t>
  </si>
  <si>
    <t>Nepal</t>
  </si>
  <si>
    <t>Palestinian Territories</t>
  </si>
  <si>
    <t>Albania</t>
  </si>
  <si>
    <t>Bangladesh</t>
  </si>
  <si>
    <t>Sierra Leone</t>
  </si>
  <si>
    <t>Iraq</t>
  </si>
  <si>
    <t>Namibia</t>
  </si>
  <si>
    <t>Cameroon</t>
  </si>
  <si>
    <t>Ethiopia</t>
  </si>
  <si>
    <t>South Africa</t>
  </si>
  <si>
    <t>Sri Lanka</t>
  </si>
  <si>
    <t>India</t>
  </si>
  <si>
    <t>Myanmar</t>
  </si>
  <si>
    <t>Egypt</t>
  </si>
  <si>
    <t>Armenia</t>
  </si>
  <si>
    <t>Kenya</t>
  </si>
  <si>
    <t>Ukraine</t>
  </si>
  <si>
    <t>Ghana</t>
  </si>
  <si>
    <t>Congo (Kinshasa)</t>
  </si>
  <si>
    <t>Georgia</t>
  </si>
  <si>
    <t>Congo (Brazzaville)</t>
  </si>
  <si>
    <t>Senegal</t>
  </si>
  <si>
    <t>Bulgaria</t>
  </si>
  <si>
    <t>Mauritania</t>
  </si>
  <si>
    <t>Zimbabwe</t>
  </si>
  <si>
    <t>Malawi</t>
  </si>
  <si>
    <t>Sudan</t>
  </si>
  <si>
    <t>Gabon</t>
  </si>
  <si>
    <t>Mali</t>
  </si>
  <si>
    <t>Haiti</t>
  </si>
  <si>
    <t>Botswana</t>
  </si>
  <si>
    <t>Comoros</t>
  </si>
  <si>
    <t>Ivory Coast</t>
  </si>
  <si>
    <t>Cambodia</t>
  </si>
  <si>
    <t>Angola</t>
  </si>
  <si>
    <t>Niger</t>
  </si>
  <si>
    <t>South Sudan</t>
  </si>
  <si>
    <t>Chad</t>
  </si>
  <si>
    <t>Burkina Faso</t>
  </si>
  <si>
    <t>Uganda</t>
  </si>
  <si>
    <t>Yemen</t>
  </si>
  <si>
    <t>Madagascar</t>
  </si>
  <si>
    <t>Tanzania</t>
  </si>
  <si>
    <t>Liberia</t>
  </si>
  <si>
    <t>Guinea</t>
  </si>
  <si>
    <t>Rwanda</t>
  </si>
  <si>
    <t>Benin</t>
  </si>
  <si>
    <t>Afghanistan</t>
  </si>
  <si>
    <t>Togo</t>
  </si>
  <si>
    <t>Syria</t>
  </si>
  <si>
    <t>Burundi</t>
  </si>
  <si>
    <t>SUM of Happiness Score</t>
  </si>
  <si>
    <t>HAPPINESS OVERVIEW</t>
  </si>
  <si>
    <t>GDP(ECONOMY)</t>
  </si>
  <si>
    <t>GENEROSITY</t>
  </si>
  <si>
    <t>HIGHEST LEVEL</t>
  </si>
  <si>
    <t>HIGHEST GDP</t>
  </si>
  <si>
    <t>HIGHEST GENEROSITY</t>
  </si>
  <si>
    <t>LOWEST LEVEL</t>
  </si>
  <si>
    <t>LOWEST GDP</t>
  </si>
  <si>
    <t>LOWEST GENEROSITY</t>
  </si>
  <si>
    <t>TOTAL COUNTRIES RANKED</t>
  </si>
  <si>
    <t>AVERAGE GDP</t>
  </si>
  <si>
    <t>HEALTH</t>
  </si>
  <si>
    <t>HAPPINESS RANK PER COUNTRY</t>
  </si>
  <si>
    <t>GDP RANK PER COUNTRY</t>
  </si>
  <si>
    <t>HEALTHIEST COUNTRY</t>
  </si>
  <si>
    <t>HAPPIEST COUNTRY</t>
  </si>
  <si>
    <t>LEAST HEALTHY</t>
  </si>
  <si>
    <t>LEAST HAPPY</t>
  </si>
  <si>
    <t>HEALTH RANK PER COUNTRY</t>
  </si>
  <si>
    <t>GENEROSITY RANK PER COUNTRY</t>
  </si>
  <si>
    <t>MOST GENEROUS COUNTRY</t>
  </si>
  <si>
    <t>LEAST HEALTHY COUNTRY</t>
  </si>
  <si>
    <t>LEAST GENEROUS COUNTRY</t>
  </si>
  <si>
    <t>REGIONAL BREAKDOWN</t>
  </si>
  <si>
    <t>REGIONAL BREAKDOWN CHART</t>
  </si>
  <si>
    <t>REGION</t>
  </si>
  <si>
    <t>AVERAGE HAPPINESS</t>
  </si>
  <si>
    <t>WESTERN EUROPE</t>
  </si>
  <si>
    <t>AUSTRALIA AND NEW ZEALAND</t>
  </si>
  <si>
    <t>SUB-SAHARAN AFRICA</t>
  </si>
  <si>
    <t>NORTH AMERICA</t>
  </si>
  <si>
    <t>SOUTHERN ASIA</t>
  </si>
  <si>
    <t>MIDDLE EAST AND NORTHERN AFRICA</t>
  </si>
  <si>
    <t>LATIN AMERICA AND CARIBBEAN</t>
  </si>
  <si>
    <t>CENTRAL AND EASTERN EUROPE</t>
  </si>
  <si>
    <t>SOUTHEASTERN ASIA</t>
  </si>
  <si>
    <t>EASTERN ASIA</t>
  </si>
  <si>
    <t>TOP 10 HAPPIEST COUNTRIES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</si>
</sst>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SUMMARY!$B$20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SUMMARY!$A$21:$A$30</c:f>
            </c:strRef>
          </c:cat>
          <c:val>
            <c:numRef>
              <c:f>SUMMARY!$B$21:$B$30</c:f>
              <c:numCache/>
            </c:numRef>
          </c:val>
        </c:ser>
        <c:ser>
          <c:idx val="1"/>
          <c:order val="1"/>
          <c:tx>
            <c:strRef>
              <c:f>SUMMARY!$C$20</c:f>
            </c:strRef>
          </c:tx>
          <c:cat>
            <c:strRef>
              <c:f>SUMMARY!$A$21:$A$30</c:f>
            </c:strRef>
          </c:cat>
          <c:val>
            <c:numRef>
              <c:f>SUMMARY!$C$21:$C$30</c:f>
              <c:numCache/>
            </c:numRef>
          </c:val>
        </c:ser>
        <c:ser>
          <c:idx val="2"/>
          <c:order val="2"/>
          <c:tx>
            <c:strRef>
              <c:f>SUMMARY!$D$20</c:f>
            </c:strRef>
          </c:tx>
          <c:cat>
            <c:strRef>
              <c:f>SUMMARY!$A$21:$A$30</c:f>
            </c:strRef>
          </c:cat>
          <c:val>
            <c:numRef>
              <c:f>SUMMARY!$D$21:$D$30</c:f>
              <c:numCache/>
            </c:numRef>
          </c:val>
        </c:ser>
        <c:ser>
          <c:idx val="3"/>
          <c:order val="3"/>
          <c:tx>
            <c:strRef>
              <c:f>SUMMARY!$E$20</c:f>
            </c:strRef>
          </c:tx>
          <c:cat>
            <c:strRef>
              <c:f>SUMMARY!$A$21:$A$30</c:f>
            </c:strRef>
          </c:cat>
          <c:val>
            <c:numRef>
              <c:f>SUMMARY!$E$21:$E$30</c:f>
              <c:numCache/>
            </c:numRef>
          </c:val>
        </c:ser>
        <c:axId val="1874663386"/>
        <c:axId val="1574049229"/>
      </c:barChart>
      <c:catAx>
        <c:axId val="1874663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049229"/>
      </c:catAx>
      <c:valAx>
        <c:axId val="1574049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663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SUMMARY!$B$20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SUMMARY!$A$21:$A$30</c:f>
            </c:strRef>
          </c:cat>
          <c:val>
            <c:numRef>
              <c:f>SUMMARY!$B$21:$B$30</c:f>
              <c:numCache/>
            </c:numRef>
          </c:val>
        </c:ser>
        <c:ser>
          <c:idx val="1"/>
          <c:order val="1"/>
          <c:tx>
            <c:strRef>
              <c:f>SUMMARY!$C$20</c:f>
            </c:strRef>
          </c:tx>
          <c:cat>
            <c:strRef>
              <c:f>SUMMARY!$A$21:$A$30</c:f>
            </c:strRef>
          </c:cat>
          <c:val>
            <c:numRef>
              <c:f>SUMMARY!$C$21:$C$30</c:f>
              <c:numCache/>
            </c:numRef>
          </c:val>
        </c:ser>
        <c:ser>
          <c:idx val="2"/>
          <c:order val="2"/>
          <c:tx>
            <c:strRef>
              <c:f>SUMMARY!$D$20</c:f>
            </c:strRef>
          </c:tx>
          <c:cat>
            <c:strRef>
              <c:f>SUMMARY!$A$21:$A$30</c:f>
            </c:strRef>
          </c:cat>
          <c:val>
            <c:numRef>
              <c:f>SUMMARY!$D$21:$D$30</c:f>
              <c:numCache/>
            </c:numRef>
          </c:val>
        </c:ser>
        <c:ser>
          <c:idx val="3"/>
          <c:order val="3"/>
          <c:tx>
            <c:strRef>
              <c:f>SUMMARY!$E$20</c:f>
            </c:strRef>
          </c:tx>
          <c:cat>
            <c:strRef>
              <c:f>SUMMARY!$A$21:$A$30</c:f>
            </c:strRef>
          </c:cat>
          <c:val>
            <c:numRef>
              <c:f>SUMMARY!$E$21:$E$30</c:f>
              <c:numCache/>
            </c:numRef>
          </c:val>
        </c:ser>
        <c:axId val="1438245935"/>
        <c:axId val="1906271352"/>
      </c:barChart>
      <c:catAx>
        <c:axId val="1438245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271352"/>
      </c:catAx>
      <c:valAx>
        <c:axId val="1906271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245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19</xdr:row>
      <xdr:rowOff>0</xdr:rowOff>
    </xdr:from>
    <xdr:ext cx="6762750" cy="3790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190500</xdr:rowOff>
    </xdr:from>
    <xdr:ext cx="6762750" cy="3790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58" sheet="WORKING_DATA"/>
  </cacheSource>
  <cacheFields>
    <cacheField name="Country" numFmtId="0">
      <sharedItems>
        <s v="Denmark"/>
        <s v="Switzerland"/>
        <s v="Iceland"/>
        <s v="Norway"/>
        <s v="Finland"/>
        <s v="Canada"/>
        <s v="Netherlands"/>
        <s v="New Zealand"/>
        <s v="Australia"/>
        <s v="Sweden"/>
        <s v="Israel"/>
        <s v="Austria"/>
        <s v="United States"/>
        <s v="Costa Rica"/>
        <s v="Puerto Rico"/>
        <s v="Germany"/>
        <s v="Brazil"/>
        <s v="Belgium"/>
        <s v="Ireland"/>
        <s v="Luxembourg"/>
        <s v="Mexico"/>
        <s v="Singapore"/>
        <s v="United Kingdom"/>
        <s v="Chile"/>
        <s v="Panama"/>
        <s v="Argentina"/>
        <s v="Czech Republic"/>
        <s v="United Arab Emirates"/>
        <s v="Uruguay"/>
        <s v="Malta"/>
        <s v="Colombia"/>
        <s v="France"/>
        <s v="Thailand"/>
        <s v="Saudi Arabia"/>
        <s v="Taiwan"/>
        <s v="Qatar"/>
        <s v="Spain"/>
        <s v="Algeria"/>
        <s v="Guatemala"/>
        <s v="Suriname"/>
        <s v="Kuwait"/>
        <s v="Bahrain"/>
        <s v="Trinidad and Tobago"/>
        <s v="Venezuela"/>
        <s v="Slovakia"/>
        <s v="El Salvador"/>
        <s v="Malaysia"/>
        <s v="Nicaragua"/>
        <s v="Uzbekistan"/>
        <s v="Italy"/>
        <s v="Ecuador"/>
        <s v="Belize"/>
        <s v="Japan"/>
        <s v="Kazakhstan"/>
        <s v="Moldova"/>
        <s v="Russia"/>
        <s v="Poland"/>
        <s v="South Korea"/>
        <s v="Bolivia"/>
        <s v="Lithuania"/>
        <s v="Belarus"/>
        <s v="North Cyprus"/>
        <s v="Slovenia"/>
        <s v="Peru"/>
        <s v="Turkmenistan"/>
        <s v="Mauritius"/>
        <s v="Libya"/>
        <s v="Latvia"/>
        <s v="Cyprus"/>
        <s v="Paraguay"/>
        <s v="Romania"/>
        <s v="Estonia"/>
        <s v="Jamaica"/>
        <s v="Croatia"/>
        <s v="Hong Kong"/>
        <s v="Somalia"/>
        <s v="Kosovo"/>
        <s v="Turkey"/>
        <s v="Indonesia"/>
        <s v="Jordan"/>
        <s v="Azerbaijan"/>
        <s v="Philippines"/>
        <s v="China"/>
        <s v="Bhutan"/>
        <s v="Kyrgyzstan"/>
        <s v="Serbia"/>
        <s v="Bosnia and Herzegovina"/>
        <s v="Montenegro"/>
        <s v="Dominican Republic"/>
        <s v="Morocco"/>
        <s v="Hungary"/>
        <s v="Pakistan"/>
        <s v="Lebanon"/>
        <s v="Portugal"/>
        <s v="Macedonia"/>
        <s v="Vietnam"/>
        <s v="Somaliland Region"/>
        <s v="Tunisia"/>
        <s v="Greece"/>
        <s v="Tajikistan"/>
        <s v="Mongolia"/>
        <s v="Laos"/>
        <s v="Nigeria"/>
        <s v="Honduras"/>
        <s v="Iran"/>
        <s v="Zambia"/>
        <s v="Nepal"/>
        <s v="Palestinian Territories"/>
        <s v="Albania"/>
        <s v="Bangladesh"/>
        <s v="Sierra Leone"/>
        <s v="Iraq"/>
        <s v="Namibia"/>
        <s v="Cameroon"/>
        <s v="Ethiopia"/>
        <s v="South Africa"/>
        <s v="Sri Lanka"/>
        <s v="India"/>
        <s v="Myanmar"/>
        <s v="Egypt"/>
        <s v="Armenia"/>
        <s v="Kenya"/>
        <s v="Ukraine"/>
        <s v="Ghana"/>
        <s v="Congo (Kinshasa)"/>
        <s v="Georgia"/>
        <s v="Congo (Brazzaville)"/>
        <s v="Senegal"/>
        <s v="Bulgaria"/>
        <s v="Mauritania"/>
        <s v="Zimbabwe"/>
        <s v="Malawi"/>
        <s v="Sudan"/>
        <s v="Gabon"/>
        <s v="Mali"/>
        <s v="Haiti"/>
        <s v="Botswana"/>
        <s v="Comoros"/>
        <s v="Ivory Coast"/>
        <s v="Cambodia"/>
        <s v="Angola"/>
        <s v="Niger"/>
        <s v="South Sudan"/>
        <s v="Chad"/>
        <s v="Burkina Faso"/>
        <s v="Uganda"/>
        <s v="Yemen"/>
        <s v="Madagascar"/>
        <s v="Tanzania"/>
        <s v="Liberia"/>
        <s v="Guinea"/>
        <s v="Rwanda"/>
        <s v="Benin"/>
        <s v="Afghanistan"/>
        <s v="Togo"/>
        <s v="Syria"/>
        <s v="Burundi"/>
      </sharedItems>
    </cacheField>
    <cacheField name="Region" numFmtId="0">
      <sharedItems>
        <s v="Western Europe"/>
        <s v="North America"/>
        <s v="Australia and New Zealand"/>
        <s v="Middle East and Northern Africa"/>
        <s v="Latin America and Caribbean"/>
        <s v="Southeastern Asia"/>
        <s v="Central and Eastern Europe"/>
        <s v="Eastern Asia"/>
        <s v="Sub-Saharan Africa"/>
        <s v="Southern Asia"/>
      </sharedItems>
    </cacheField>
    <cacheField name="Happiness Ran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7.0"/>
        <n v="148.0"/>
        <n v="149.0"/>
        <n v="150.0"/>
        <n v="151.0"/>
        <n v="152.0"/>
        <n v="153.0"/>
        <n v="154.0"/>
        <n v="155.0"/>
        <n v="156.0"/>
        <n v="157.0"/>
      </sharedItems>
    </cacheField>
    <cacheField name="Happiness Score" numFmtId="0">
      <sharedItems containsSemiMixedTypes="0" containsString="0" containsNumber="1">
        <n v="7.526"/>
        <n v="7.509"/>
        <n v="7.501"/>
        <n v="7.498"/>
        <n v="7.413"/>
        <n v="7.404"/>
        <n v="7.339"/>
        <n v="7.334"/>
        <n v="7.313"/>
        <n v="7.291"/>
        <n v="7.267"/>
        <n v="7.119"/>
        <n v="7.104"/>
        <n v="7.087"/>
        <n v="7.039"/>
        <n v="6.994"/>
        <n v="6.952"/>
        <n v="6.929"/>
        <n v="6.907"/>
        <n v="6.871"/>
        <n v="6.778"/>
        <n v="6.739"/>
        <n v="6.725"/>
        <n v="6.705"/>
        <n v="6.701"/>
        <n v="6.65"/>
        <n v="6.596"/>
        <n v="6.573"/>
        <n v="6.545"/>
        <n v="6.488"/>
        <n v="6.481"/>
        <n v="6.478"/>
        <n v="6.474"/>
        <n v="6.379"/>
        <n v="6.375"/>
        <n v="6.361"/>
        <n v="6.355"/>
        <n v="6.324"/>
        <n v="6.269"/>
        <n v="6.239"/>
        <n v="6.218"/>
        <n v="6.168"/>
        <n v="6.084"/>
        <n v="6.078"/>
        <n v="6.068"/>
        <n v="6.005"/>
        <n v="5.992"/>
        <n v="5.987"/>
        <n v="5.977"/>
        <n v="5.976"/>
        <n v="5.956"/>
        <n v="5.921"/>
        <n v="5.919"/>
        <n v="5.897"/>
        <n v="5.856"/>
        <n v="5.835"/>
        <n v="5.822"/>
        <n v="5.813"/>
        <n v="5.802"/>
        <n v="5.771"/>
        <n v="5.768"/>
        <n v="5.743"/>
        <n v="5.658"/>
        <n v="5.648"/>
        <n v="5.615"/>
        <n v="5.56"/>
        <n v="5.546"/>
        <n v="5.538"/>
        <n v="5.528"/>
        <n v="5.517"/>
        <n v="5.51"/>
        <n v="5.488"/>
        <n v="5.458"/>
        <n v="5.44"/>
        <n v="5.401"/>
        <n v="5.389"/>
        <n v="5.314"/>
        <n v="5.303"/>
        <n v="5.291"/>
        <n v="5.279"/>
        <n v="5.245"/>
        <n v="5.196"/>
        <n v="5.185"/>
        <n v="5.177"/>
        <n v="5.163"/>
        <n v="5.161"/>
        <n v="5.155"/>
        <n v="5.151"/>
        <n v="5.145"/>
        <n v="5.132"/>
        <n v="5.129"/>
        <n v="5.123"/>
        <n v="5.121"/>
        <n v="5.061"/>
        <n v="5.057"/>
        <n v="5.045"/>
        <n v="5.033"/>
        <n v="4.996"/>
        <n v="4.907"/>
        <n v="4.876"/>
        <n v="4.875"/>
        <n v="4.871"/>
        <n v="4.813"/>
        <n v="4.795"/>
        <n v="4.793"/>
        <n v="4.754"/>
        <n v="4.655"/>
        <n v="4.643"/>
        <n v="4.635"/>
        <n v="4.575"/>
        <n v="4.574"/>
        <n v="4.513"/>
        <n v="4.508"/>
        <n v="4.459"/>
        <n v="4.415"/>
        <n v="4.404"/>
        <n v="4.395"/>
        <n v="4.362"/>
        <n v="4.36"/>
        <n v="4.356"/>
        <n v="4.324"/>
        <n v="4.276"/>
        <n v="4.272"/>
        <n v="4.252"/>
        <n v="4.236"/>
        <n v="4.219"/>
        <n v="4.217"/>
        <n v="4.201"/>
        <n v="4.193"/>
        <n v="4.156"/>
        <n v="4.139"/>
        <n v="4.121"/>
        <n v="4.073"/>
        <n v="4.028"/>
        <n v="3.974"/>
        <n v="3.956"/>
        <n v="3.916"/>
        <n v="3.907"/>
        <n v="3.866"/>
        <n v="3.856"/>
        <n v="3.832"/>
        <n v="3.763"/>
        <n v="3.739"/>
        <n v="3.724"/>
        <n v="3.695"/>
        <n v="3.666"/>
        <n v="3.622"/>
        <n v="3.607"/>
        <n v="3.515"/>
        <n v="3.484"/>
        <n v="3.36"/>
        <n v="3.303"/>
        <n v="3.069"/>
        <n v="2.905"/>
      </sharedItems>
    </cacheField>
    <cacheField name="Lower Confidence Interval" numFmtId="0">
      <sharedItems containsSemiMixedTypes="0" containsString="0" containsNumber="1">
        <n v="7.46"/>
        <n v="7.428"/>
        <n v="7.333"/>
        <n v="7.421"/>
        <n v="7.351"/>
        <n v="7.335"/>
        <n v="7.284"/>
        <n v="7.264"/>
        <n v="7.241"/>
        <n v="7.227"/>
        <n v="7.199"/>
        <n v="7.045"/>
        <n v="7.02"/>
        <n v="6.999"/>
        <n v="6.794"/>
        <n v="6.93"/>
        <n v="6.875"/>
        <n v="6.861"/>
        <n v="6.836"/>
        <n v="6.804"/>
        <n v="6.68"/>
        <n v="6.674"/>
        <n v="6.647"/>
        <n v="6.615"/>
        <n v="6.601"/>
        <n v="6.56"/>
        <n v="6.515"/>
        <n v="6.494"/>
        <n v="6.456"/>
        <n v="6.409"/>
        <n v="6.384"/>
        <n v="6.397"/>
        <n v="6.396"/>
        <n v="6.287"/>
        <n v="6.305"/>
        <n v="6.178"/>
        <n v="6.288"/>
        <n v="6.227"/>
        <n v="6.213"/>
        <n v="6.073"/>
        <n v="6.154"/>
        <n v="6.128"/>
        <n v="5.95"/>
        <n v="5.973"/>
        <n v="5.996"/>
        <n v="5.967"/>
        <n v="5.921"/>
        <n v="5.877"/>
        <n v="5.896"/>
        <n v="5.898"/>
        <n v="5.88"/>
        <n v="5.71"/>
        <n v="5.85"/>
        <n v="5.837"/>
        <n v="5.823"/>
        <n v="5.789"/>
        <n v="5.749"/>
        <n v="5.747"/>
        <n v="5.74"/>
        <n v="5.734"/>
        <n v="5.723"/>
        <n v="5.67"/>
        <n v="5.683"/>
        <n v="5.647"/>
        <n v="5.58"/>
        <n v="5.507"/>
        <n v="5.406"/>
        <n v="5.486"/>
        <n v="5.442"/>
        <n v="5.453"/>
        <n v="5.427"/>
        <n v="5.437"/>
        <n v="5.315"/>
        <n v="5.402"/>
        <n v="5.362"/>
        <n v="5.321"/>
        <n v="5.308"/>
        <n v="5.295"/>
        <n v="5.237"/>
        <n v="5.187"/>
        <n v="5.226"/>
        <n v="5.16"/>
        <n v="5.199"/>
        <n v="5.138"/>
        <n v="5.103"/>
        <n v="5.083"/>
        <n v="5.063"/>
        <n v="5.055"/>
        <n v="5.037"/>
        <n v="5.058"/>
        <n v="5.056"/>
        <n v="5.038"/>
        <n v="5.031"/>
        <n v="5.03"/>
        <n v="5.017"/>
        <n v="4.991"/>
        <n v="4.934"/>
        <n v="4.965"/>
        <n v="4.935"/>
        <n v="4.923"/>
        <n v="4.838"/>
        <n v="4.742"/>
        <n v="4.75"/>
        <n v="4.703"/>
        <n v="4.645"/>
        <n v="4.698"/>
        <n v="4.649"/>
        <n v="4.546"/>
        <n v="4.56"/>
        <n v="4.505"/>
        <n v="4.446"/>
        <n v="4.374"/>
        <n v="4.417"/>
        <n v="4.425"/>
        <n v="4.371"/>
        <n v="4.322"/>
        <n v="4.351"/>
        <n v="4.327"/>
        <n v="4.259"/>
        <n v="4.266"/>
        <n v="4.236"/>
        <n v="4.185"/>
        <n v="4.191"/>
        <n v="4.164"/>
        <n v="4.107"/>
        <n v="4.151"/>
        <n v="4.104"/>
        <n v="4.127"/>
        <n v="4.101"/>
        <n v="4.041"/>
        <n v="3.928"/>
        <n v="4.03"/>
        <n v="3.988"/>
        <n v="3.893"/>
        <n v="3.875"/>
        <n v="3.86"/>
        <n v="3.826"/>
        <n v="3.798"/>
        <n v="3.753"/>
        <n v="3.781"/>
        <n v="3.596"/>
        <n v="3.672"/>
        <n v="3.647"/>
        <n v="3.629"/>
        <n v="3.621"/>
        <n v="3.561"/>
        <n v="3.463"/>
        <n v="3.533"/>
        <n v="3.444"/>
        <n v="3.404"/>
        <n v="3.288"/>
        <n v="3.192"/>
        <n v="2.936"/>
        <n v="2.732"/>
      </sharedItems>
    </cacheField>
    <cacheField name="Upper Confidence Interval" numFmtId="0">
      <sharedItems containsSemiMixedTypes="0" containsString="0" containsNumber="1">
        <n v="7.592"/>
        <n v="7.59"/>
        <n v="7.669"/>
        <n v="7.575"/>
        <n v="7.475"/>
        <n v="7.473"/>
        <n v="7.394"/>
        <n v="7.404"/>
        <n v="7.385"/>
        <n v="7.355"/>
        <n v="7.335"/>
        <n v="7.193"/>
        <n v="7.188"/>
        <n v="7.175"/>
        <n v="7.284"/>
        <n v="7.058"/>
        <n v="7.029"/>
        <n v="6.997"/>
        <n v="6.978"/>
        <n v="6.938"/>
        <n v="6.876"/>
        <n v="6.804"/>
        <n v="6.803"/>
        <n v="6.795"/>
        <n v="6.801"/>
        <n v="6.74"/>
        <n v="6.677"/>
        <n v="6.652"/>
        <n v="6.634"/>
        <n v="6.567"/>
        <n v="6.578"/>
        <n v="6.559"/>
        <n v="6.552"/>
        <n v="6.471"/>
        <n v="6.453"/>
        <n v="6.572"/>
        <n v="6.434"/>
        <n v="6.483"/>
        <n v="6.435"/>
        <n v="6.465"/>
        <n v="6.324"/>
        <n v="6.308"/>
        <n v="6.386"/>
        <n v="6.195"/>
        <n v="6.16"/>
        <n v="6.169"/>
        <n v="6.089"/>
        <n v="6.107"/>
        <n v="6.078"/>
        <n v="6.056"/>
        <n v="6.072"/>
        <n v="6.202"/>
        <n v="5.992"/>
        <n v="6.001"/>
        <n v="5.971"/>
        <n v="5.923"/>
        <n v="5.921"/>
        <n v="5.904"/>
        <n v="5.892"/>
        <n v="5.881"/>
        <n v="5.872"/>
        <n v="5.853"/>
        <n v="5.839"/>
        <n v="5.736"/>
        <n v="5.789"/>
        <n v="5.824"/>
        <n v="5.634"/>
        <n v="5.65"/>
        <n v="5.623"/>
        <n v="5.629"/>
        <n v="5.597"/>
        <n v="5.705"/>
        <n v="5.574"/>
        <n v="5.554"/>
        <n v="5.559"/>
        <n v="5.494"/>
        <n v="5.483"/>
        <n v="5.391"/>
        <n v="5.419"/>
        <n v="5.356"/>
        <n v="5.398"/>
        <n v="5.291"/>
        <n v="5.254"/>
        <n v="5.267"/>
        <n v="5.271"/>
        <n v="5.263"/>
        <n v="5.273"/>
        <n v="5.244"/>
        <n v="5.234"/>
        <n v="5.226"/>
        <n v="5.227"/>
        <n v="5.216"/>
        <n v="5.225"/>
        <n v="5.131"/>
        <n v="5.18"/>
        <n v="5.125"/>
        <n v="5.069"/>
        <n v="4.976"/>
        <n v="5.01"/>
        <n v="5.0"/>
        <n v="4.992"/>
        <n v="4.923"/>
        <n v="4.945"/>
        <n v="4.888"/>
        <n v="4.859"/>
        <n v="4.764"/>
        <n v="4.726"/>
        <n v="4.765"/>
        <n v="4.704"/>
        <n v="4.774"/>
        <n v="4.609"/>
        <n v="4.591"/>
        <n v="4.547"/>
        <n v="4.508"/>
        <n v="4.457"/>
        <n v="4.463"/>
        <n v="4.465"/>
        <n v="4.454"/>
        <n v="4.453"/>
        <n v="4.412"/>
        <n v="4.367"/>
        <n v="4.353"/>
        <n v="4.34"/>
        <n v="4.365"/>
        <n v="4.287"/>
        <n v="4.33"/>
        <n v="4.275"/>
        <n v="4.285"/>
        <n v="4.271"/>
        <n v="4.35"/>
        <n v="4.212"/>
        <n v="4.158"/>
        <n v="4.163"/>
        <n v="4.073"/>
        <n v="4.052"/>
        <n v="4.006"/>
        <n v="4.016"/>
        <n v="3.979"/>
        <n v="3.931"/>
        <n v="4.068"/>
        <n v="3.854"/>
        <n v="3.831"/>
        <n v="3.849"/>
        <n v="3.827"/>
        <n v="3.769"/>
        <n v="3.771"/>
        <n v="3.781"/>
        <n v="3.681"/>
        <n v="3.586"/>
        <n v="3.564"/>
        <n v="3.432"/>
        <n v="3.414"/>
        <n v="3.202"/>
        <n v="3.078"/>
      </sharedItems>
    </cacheField>
    <cacheField name="Economy (GDP per Capita)" numFmtId="0">
      <sharedItems containsSemiMixedTypes="0" containsString="0" containsNumber="1">
        <n v="1.44178"/>
        <n v="1.52733"/>
        <n v="1.42666"/>
        <n v="1.57744"/>
        <n v="1.40598"/>
        <n v="1.44015"/>
        <n v="1.46468"/>
        <n v="1.36066"/>
        <n v="1.44443"/>
        <n v="1.45181"/>
        <n v="1.33766"/>
        <n v="1.45038"/>
        <n v="1.50796"/>
        <n v="1.06879"/>
        <n v="1.35943"/>
        <n v="1.44787"/>
        <n v="1.08754"/>
        <n v="1.42539"/>
        <n v="1.48341"/>
        <n v="1.69752"/>
        <n v="1.11508"/>
        <n v="1.64555"/>
        <n v="1.40283"/>
        <n v="1.2167"/>
        <n v="1.18306"/>
        <n v="1.15137"/>
        <n v="1.30915"/>
        <n v="1.57352"/>
        <n v="1.18157"/>
        <n v="1.30782"/>
        <n v="1.03032"/>
        <n v="1.39488"/>
        <n v="1.0893"/>
        <n v="1.48953"/>
        <n v="1.39729"/>
        <n v="1.82427"/>
        <n v="1.34253"/>
        <n v="1.05266"/>
        <n v="0.83454"/>
        <n v="1.09686"/>
        <n v="1.61714"/>
        <n v="1.44024"/>
        <n v="1.32572"/>
        <n v="1.13367"/>
        <n v="1.27973"/>
        <n v="0.8737"/>
        <n v="1.25142"/>
        <n v="0.69384"/>
        <n v="0.73591"/>
        <n v="1.35495"/>
        <n v="0.97306"/>
        <n v="0.87616"/>
        <n v="1.38007"/>
        <n v="1.22943"/>
        <n v="0.69177"/>
        <n v="1.23228"/>
        <n v="1.24585"/>
        <n v="1.35948"/>
        <n v="0.79422"/>
        <n v="1.2692"/>
        <n v="1.13062"/>
        <n v="1.31141"/>
        <n v="1.29947"/>
        <n v="0.99602"/>
        <n v="1.08017"/>
        <n v="1.14372"/>
        <n v="1.06688"/>
        <n v="1.21788"/>
        <n v="1.31857"/>
        <n v="0.89373"/>
        <n v="1.1697"/>
        <n v="1.27964"/>
        <n v="0.89333"/>
        <n v="1.18649"/>
        <n v="1.5107"/>
        <n v="0.0"/>
        <n v="0.90145"/>
        <n v="1.16492"/>
        <n v="0.95104"/>
        <n v="0.99673"/>
        <n v="1.12373"/>
        <n v="0.81217"/>
        <n v="1.0278"/>
        <n v="0.8527"/>
        <n v="0.56044"/>
        <n v="1.03437"/>
        <n v="0.93383"/>
        <n v="1.07838"/>
        <n v="1.02787"/>
        <n v="0.84058"/>
        <n v="1.24142"/>
        <n v="0.68816"/>
        <n v="1.12268"/>
        <n v="1.27607"/>
        <n v="1.0193"/>
        <n v="0.74037"/>
        <n v="0.25558"/>
        <n v="0.97724"/>
        <n v="1.24886"/>
        <n v="0.48835"/>
        <n v="0.98853"/>
        <n v="0.68042"/>
        <n v="0.75216"/>
        <n v="0.69429"/>
        <n v="1.11758"/>
        <n v="0.61202"/>
        <n v="0.44626"/>
        <n v="0.67024"/>
        <n v="0.9553"/>
        <n v="0.54177"/>
        <n v="0.36485"/>
        <n v="1.07474"/>
        <n v="0.93287"/>
        <n v="0.52497"/>
        <n v="0.29283"/>
        <n v="1.02416"/>
        <n v="0.97318"/>
        <n v="0.74036"/>
        <n v="0.34112"/>
        <n v="0.95395"/>
        <n v="0.86086"/>
        <n v="0.52267"/>
        <n v="0.87287"/>
        <n v="0.63107"/>
        <n v="0.05661"/>
        <n v="0.83792"/>
        <n v="0.77109"/>
        <n v="0.44314"/>
        <n v="1.11306"/>
        <n v="0.61391"/>
        <n v="0.35041"/>
        <n v="0.08709"/>
        <n v="0.63069"/>
        <n v="1.15851"/>
        <n v="0.31292"/>
        <n v="0.34097"/>
        <n v="1.09426"/>
        <n v="0.27509"/>
        <n v="0.55507"/>
        <n v="0.55604"/>
        <n v="0.84731"/>
        <n v="0.1327"/>
        <n v="0.39394"/>
        <n v="0.42214"/>
        <n v="0.31995"/>
        <n v="0.34719"/>
        <n v="0.57939"/>
        <n v="0.27954"/>
        <n v="0.47155"/>
        <n v="0.10706"/>
        <n v="0.22415"/>
        <n v="0.32846"/>
        <n v="0.39499"/>
        <n v="0.38227"/>
        <n v="0.28123"/>
        <n v="0.74719"/>
        <n v="0.06831"/>
      </sharedItems>
    </cacheField>
    <cacheField name="Family" numFmtId="0">
      <sharedItems containsSemiMixedTypes="0" containsString="0" containsNumber="1">
        <n v="1.16374"/>
        <n v="1.14524"/>
        <n v="1.18326"/>
        <n v="1.1269"/>
        <n v="1.13464"/>
        <n v="1.0961"/>
        <n v="1.02912"/>
        <n v="1.17278"/>
        <n v="1.10476"/>
        <n v="1.08764"/>
        <n v="0.99537"/>
        <n v="1.08383"/>
        <n v="1.04782"/>
        <n v="1.02152"/>
        <n v="1.08113"/>
        <n v="1.09774"/>
        <n v="1.03938"/>
        <n v="1.05249"/>
        <n v="1.16157"/>
        <n v="1.03999"/>
        <n v="0.7146"/>
        <n v="0.86758"/>
        <n v="1.08672"/>
        <n v="0.90587"/>
        <n v="0.98912"/>
        <n v="1.06612"/>
        <n v="1.00793"/>
        <n v="0.87114"/>
        <n v="1.03143"/>
        <n v="1.09879"/>
        <n v="1.02169"/>
        <n v="1.00508"/>
        <n v="1.04477"/>
        <n v="0.84829"/>
        <n v="0.92624"/>
        <n v="0.87964"/>
        <n v="1.12945"/>
        <n v="0.83309"/>
        <n v="0.87119"/>
        <n v="0.77866"/>
        <n v="0.87758"/>
        <n v="0.94397"/>
        <n v="0.98569"/>
        <n v="1.03302"/>
        <n v="1.08268"/>
        <n v="0.80975"/>
        <n v="0.88025"/>
        <n v="0.89521"/>
        <n v="1.1681"/>
        <n v="1.04167"/>
        <n v="0.85974"/>
        <n v="0.68655"/>
        <n v="1.06054"/>
        <n v="0.95544"/>
        <n v="0.83132"/>
        <n v="1.05261"/>
        <n v="1.04685"/>
        <n v="0.72194"/>
        <n v="0.83779"/>
        <n v="1.06411"/>
        <n v="1.04993"/>
        <n v="0.81826"/>
        <n v="1.05613"/>
        <n v="0.81255"/>
        <n v="1.03817"/>
        <n v="0.75695"/>
        <n v="0.95076"/>
        <n v="0.95025"/>
        <n v="0.70697"/>
        <n v="1.11111"/>
        <n v="0.72803"/>
        <n v="1.05163"/>
        <n v="0.96372"/>
        <n v="0.60809"/>
        <n v="0.87021"/>
        <n v="0.33613"/>
        <n v="0.66062"/>
        <n v="0.87717"/>
        <n v="0.87625"/>
        <n v="0.86216"/>
        <n v="0.76042"/>
        <n v="0.87877"/>
        <n v="0.79381"/>
        <n v="0.90836"/>
        <n v="0.95434"/>
        <n v="0.81329"/>
        <n v="0.64367"/>
        <n v="0.74173"/>
        <n v="0.99496"/>
        <n v="0.38595"/>
        <n v="0.93164"/>
        <n v="0.26135"/>
        <n v="0.64184"/>
        <n v="0.94367"/>
        <n v="0.78236"/>
        <n v="0.79117"/>
        <n v="0.75862"/>
        <n v="0.43165"/>
        <n v="0.75473"/>
        <n v="0.75602"/>
        <n v="1.08983"/>
        <n v="0.5497"/>
        <n v="0.64498"/>
        <n v="0.75596"/>
        <n v="0.38857"/>
        <n v="0.6376"/>
        <n v="0.69699"/>
        <n v="0.71629"/>
        <n v="0.50163"/>
        <n v="0.24749"/>
        <n v="0.628"/>
        <n v="0.59205"/>
        <n v="0.70362"/>
        <n v="0.62542"/>
        <n v="0.37932"/>
        <n v="0.96053"/>
        <n v="0.84783"/>
        <n v="0.29247"/>
        <n v="0.69981"/>
        <n v="0.49813"/>
        <n v="0.62477"/>
        <n v="0.7624"/>
        <n v="1.01413"/>
        <n v="0.49353"/>
        <n v="0.80676"/>
        <n v="0.19249"/>
        <n v="0.47799"/>
        <n v="0.77416"/>
        <n v="0.92542"/>
        <n v="0.84142"/>
        <n v="0.71478"/>
        <n v="0.147"/>
        <n v="0.81928"/>
        <n v="0.72368"/>
        <n v="0.86333"/>
        <n v="0.29561"/>
        <n v="0.89186"/>
        <n v="0.60323"/>
        <n v="0.57576"/>
        <n v="0.5375"/>
        <n v="0.66366"/>
        <n v="0.6053"/>
        <n v="0.18519"/>
        <n v="0.63178"/>
        <n v="0.63054"/>
        <n v="0.90981"/>
        <n v="0.47493"/>
        <n v="0.46115"/>
        <n v="0.77623"/>
        <n v="0.50353"/>
        <n v="0.3109"/>
        <n v="0.61586"/>
        <n v="0.10419"/>
        <n v="0.11037"/>
        <n v="0.0"/>
        <n v="0.14866"/>
        <n v="0.23442"/>
      </sharedItems>
    </cacheField>
    <cacheField name="Health (Life Expectancy)" numFmtId="0">
      <sharedItems containsSemiMixedTypes="0" containsString="0" containsNumber="1">
        <n v="0.79504"/>
        <n v="0.86303"/>
        <n v="0.86733"/>
        <n v="0.79579"/>
        <n v="0.81091"/>
        <n v="0.8276"/>
        <n v="0.81231"/>
        <n v="0.83096"/>
        <n v="0.8512"/>
        <n v="0.83121"/>
        <n v="0.84917"/>
        <n v="0.80565"/>
        <n v="0.779"/>
        <n v="0.76146"/>
        <n v="0.77758"/>
        <n v="0.81487"/>
        <n v="0.61415"/>
        <n v="0.81959"/>
        <n v="0.81455"/>
        <n v="0.84542"/>
        <n v="0.71143"/>
        <n v="0.94719"/>
        <n v="0.80991"/>
        <n v="0.81883"/>
        <n v="0.70835"/>
        <n v="0.69711"/>
        <n v="0.76376"/>
        <n v="0.72993"/>
        <n v="0.72183"/>
        <n v="0.80315"/>
        <n v="0.59659"/>
        <n v="0.83795"/>
        <n v="0.64915"/>
        <n v="0.59267"/>
        <n v="0.79565"/>
        <n v="0.71723"/>
        <n v="0.87896"/>
        <n v="0.61804"/>
        <n v="0.54039"/>
        <n v="0.50933"/>
        <n v="0.63569"/>
        <n v="0.65696"/>
        <n v="0.52608"/>
        <n v="0.61904"/>
        <n v="0.70367"/>
        <n v="0.596"/>
        <n v="0.62366"/>
        <n v="0.65213"/>
        <n v="0.50163"/>
        <n v="0.85102"/>
        <n v="0.68613"/>
        <n v="0.45569"/>
        <n v="0.91491"/>
        <n v="0.57386"/>
        <n v="0.52309"/>
        <n v="0.58991"/>
        <n v="0.69058"/>
        <n v="0.88645"/>
        <n v="0.4697"/>
        <n v="0.64674"/>
        <n v="0.63104"/>
        <n v="0.84142"/>
        <n v="0.79151"/>
        <n v="0.62994"/>
        <n v="0.44006"/>
        <n v="0.66189"/>
        <n v="0.52304"/>
        <n v="0.63952"/>
        <n v="0.8488"/>
        <n v="0.58295"/>
        <n v="0.67602"/>
        <n v="0.68098"/>
        <n v="0.59469"/>
        <n v="0.70524"/>
        <n v="0.95277"/>
        <n v="0.11466"/>
        <n v="0.54"/>
        <n v="0.64718"/>
        <n v="0.49374"/>
        <n v="0.60712"/>
        <n v="0.54504"/>
        <n v="0.47036"/>
        <n v="0.73561"/>
        <n v="0.49759"/>
        <n v="0.55449"/>
        <n v="0.6458"/>
        <n v="0.70766"/>
        <n v="0.63533"/>
        <n v="0.57669"/>
        <n v="0.59471"/>
        <n v="0.67608"/>
        <n v="0.40306"/>
        <n v="0.76171"/>
        <n v="0.79363"/>
        <n v="0.64738"/>
        <n v="0.66157"/>
        <n v="0.33108"/>
        <n v="0.59577"/>
        <n v="0.80029"/>
        <n v="0.53119"/>
        <n v="0.55469"/>
        <n v="0.38291"/>
        <n v="0.05108"/>
        <n v="0.58383"/>
        <n v="0.64232"/>
        <n v="0.23573"/>
        <n v="0.50073"/>
        <n v="0.56844"/>
        <n v="0.73007"/>
        <n v="0.52989"/>
        <n v="0.0"/>
        <n v="0.51076"/>
        <n v="0.34745"/>
        <n v="0.12698"/>
        <n v="0.34578"/>
        <n v="0.18611"/>
        <n v="0.62007"/>
        <n v="0.45091"/>
        <n v="0.3988"/>
        <n v="0.52116"/>
        <n v="0.64083"/>
        <n v="0.30147"/>
        <n v="0.58628"/>
        <n v="0.29681"/>
        <n v="0.188"/>
        <n v="0.64035"/>
        <n v="0.28212"/>
        <n v="0.40457"/>
        <n v="0.67806"/>
        <n v="0.28639"/>
        <n v="0.1595"/>
        <n v="0.29364"/>
        <n v="0.29759"/>
        <n v="0.3494"/>
        <n v="0.16347"/>
        <n v="0.27494"/>
        <n v="0.34752"/>
        <n v="0.29981"/>
        <n v="0.04476"/>
        <n v="0.42494"/>
        <n v="0.04991"/>
        <n v="0.26162"/>
        <n v="0.15781"/>
        <n v="0.03824"/>
        <n v="0.21297"/>
        <n v="0.19625"/>
        <n v="0.31048"/>
        <n v="0.37109"/>
        <n v="0.357"/>
        <n v="0.23165"/>
        <n v="0.18829"/>
        <n v="0.31865"/>
        <n v="0.21028"/>
        <n v="0.17344"/>
        <n v="0.24811"/>
        <n v="0.15747"/>
      </sharedItems>
    </cacheField>
    <cacheField name="Freedom" numFmtId="0">
      <sharedItems containsSemiMixedTypes="0" containsString="0" containsNumber="1">
        <n v="0.57941"/>
        <n v="0.58557"/>
        <n v="0.56624"/>
        <n v="0.59609"/>
        <n v="0.57104"/>
        <n v="0.5737"/>
        <n v="0.55211"/>
        <n v="0.58147"/>
        <n v="0.56837"/>
        <n v="0.58218"/>
        <n v="0.36432"/>
        <n v="0.54355"/>
        <n v="0.48163"/>
        <n v="0.55225"/>
        <n v="0.46823"/>
        <n v="0.53466"/>
        <n v="0.40425"/>
        <n v="0.51354"/>
        <n v="0.54008"/>
        <n v="0.5487"/>
        <n v="0.37709"/>
        <n v="0.4877"/>
        <n v="0.50036"/>
        <n v="0.37789"/>
        <n v="0.48927"/>
        <n v="0.42284"/>
        <n v="0.41418"/>
        <n v="0.56215"/>
        <n v="0.54388"/>
        <n v="0.54994"/>
        <n v="0.44735"/>
        <n v="0.46562"/>
        <n v="0.49553"/>
        <n v="0.37904"/>
        <n v="0.32377"/>
        <n v="0.56679"/>
        <n v="0.37545"/>
        <n v="0.21006"/>
        <n v="0.50379"/>
        <n v="0.52234"/>
        <n v="0.43166"/>
        <n v="0.47375"/>
        <n v="0.48453"/>
        <n v="0.19847"/>
        <n v="0.23391"/>
        <n v="0.37269"/>
        <n v="0.39031"/>
        <n v="0.46582"/>
        <n v="0.60848"/>
        <n v="0.18827"/>
        <n v="0.4027"/>
        <n v="0.51231"/>
        <n v="0.46761"/>
        <n v="0.4052"/>
        <n v="0.25202"/>
        <n v="0.32682"/>
        <n v="0.4519"/>
        <n v="0.25168"/>
        <n v="0.50961"/>
        <n v="0.18929"/>
        <n v="0.29091"/>
        <n v="0.43596"/>
        <n v="0.53164"/>
        <n v="0.37502"/>
        <n v="0.37408"/>
        <n v="0.46145"/>
        <n v="0.40672"/>
        <n v="0.27996"/>
        <n v="0.29507"/>
        <n v="0.46235"/>
        <n v="0.36712"/>
        <n v="0.41511"/>
        <n v="0.43597"/>
        <n v="0.23907"/>
        <n v="0.48079"/>
        <n v="0.56778"/>
        <n v="0.14396"/>
        <n v="0.23889"/>
        <n v="0.39237"/>
        <n v="0.36023"/>
        <n v="0.35327"/>
        <n v="0.54854"/>
        <n v="0.44012"/>
        <n v="0.46074"/>
        <n v="0.40212"/>
        <n v="0.15718"/>
        <n v="0.09511"/>
        <n v="0.15111"/>
        <n v="0.52259"/>
        <n v="0.25646"/>
        <n v="0.1977"/>
        <n v="0.14622"/>
        <n v="0.26228"/>
        <n v="0.44727"/>
        <n v="0.27668"/>
        <n v="0.55954"/>
        <n v="0.3913"/>
        <n v="0.23553"/>
        <n v="0.05822"/>
        <n v="0.43408"/>
        <n v="0.35972"/>
        <n v="0.52168"/>
        <n v="0.27854"/>
        <n v="0.26755"/>
        <n v="0.22544"/>
        <n v="0.42662"/>
        <n v="0.37012"/>
        <n v="0.17744"/>
        <n v="0.31866"/>
        <n v="0.39778"/>
        <n v="0.30685"/>
        <n v="0.24856"/>
        <n v="0.48614"/>
        <n v="0.42736"/>
        <n v="0.36703"/>
        <n v="0.42483"/>
        <n v="0.50817"/>
        <n v="0.40285"/>
        <n v="0.42692"/>
        <n v="0.18847"/>
        <n v="0.14037"/>
        <n v="0.40576"/>
        <n v="0.12859"/>
        <n v="0.40973"/>
        <n v="0.15602"/>
        <n v="0.32461"/>
        <n v="0.37938"/>
        <n v="0.31056"/>
        <n v="0.21219"/>
        <n v="0.1268"/>
        <n v="0.25429"/>
        <n v="0.4143"/>
        <n v="0.0"/>
        <n v="0.28098"/>
        <n v="0.27544"/>
        <n v="0.12072"/>
        <n v="0.44089"/>
        <n v="0.15412"/>
        <n v="0.40663"/>
        <n v="0.58852"/>
        <n v="0.00589"/>
        <n v="0.38041"/>
        <n v="0.19662"/>
        <n v="0.12807"/>
        <n v="0.3337"/>
        <n v="0.43653"/>
        <n v="0.2287"/>
        <n v="0.13684"/>
        <n v="0.3176"/>
        <n v="0.25748"/>
        <n v="0.30953"/>
        <n v="0.5432"/>
        <n v="0.39747"/>
        <n v="0.1643"/>
        <n v="0.34678"/>
        <n v="0.06912"/>
        <n v="0.0432"/>
      </sharedItems>
    </cacheField>
    <cacheField name="Trust (Government Corruption)" numFmtId="0">
      <sharedItems containsSemiMixedTypes="0" containsString="0" containsNumber="1">
        <n v="0.44453"/>
        <n v="0.41203"/>
        <n v="0.14975"/>
        <n v="0.35776"/>
        <n v="0.41004"/>
        <n v="0.31329"/>
        <n v="0.29927"/>
        <n v="0.41904"/>
        <n v="0.32331"/>
        <n v="0.40867"/>
        <n v="0.08728"/>
        <n v="0.21348"/>
        <n v="0.14868"/>
        <n v="0.10547"/>
        <n v="0.12275"/>
        <n v="0.28551"/>
        <n v="0.14166"/>
        <n v="0.26248"/>
        <n v="0.29754"/>
        <n v="0.35329"/>
        <n v="0.18355"/>
        <n v="0.46987"/>
        <n v="0.27399"/>
        <n v="0.11451"/>
        <n v="0.08423"/>
        <n v="0.07296"/>
        <n v="0.03986"/>
        <n v="0.35561"/>
        <n v="0.21394"/>
        <n v="0.17554"/>
        <n v="0.05399"/>
        <n v="0.17808"/>
        <n v="0.02833"/>
        <n v="0.30008"/>
        <n v="0.0663"/>
        <n v="0.48049"/>
        <n v="0.06137"/>
        <n v="0.16157"/>
        <n v="0.08701"/>
        <n v="0.12692"/>
        <n v="0.23669"/>
        <n v="0.25772"/>
        <n v="0.01241"/>
        <n v="0.08304"/>
        <n v="0.02947"/>
        <n v="0.10613"/>
        <n v="0.09081"/>
        <n v="0.16292"/>
        <n v="0.28333"/>
        <n v="0.02556"/>
        <n v="0.18037"/>
        <n v="0.10771"/>
        <n v="0.18985"/>
        <n v="0.11132"/>
        <n v="0.01903"/>
        <n v="0.03586"/>
        <n v="0.055"/>
        <n v="0.07716"/>
        <n v="0.07746"/>
        <n v="0.0182"/>
        <n v="0.17457"/>
        <n v="0.16578"/>
        <n v="0.03635"/>
        <n v="0.05292"/>
        <n v="0.28467"/>
        <n v="0.05203"/>
        <n v="0.10339"/>
        <n v="0.0889"/>
        <n v="0.05228"/>
        <n v="0.07396"/>
        <n v="0.00679"/>
        <n v="0.18519"/>
        <n v="0.04294"/>
        <n v="0.04002"/>
        <n v="0.31647"/>
        <n v="0.3118"/>
        <n v="0.06547"/>
        <n v="0.12348"/>
        <n v="0.00322"/>
        <n v="0.13297"/>
        <n v="0.17914"/>
        <n v="0.11757"/>
        <n v="0.02745"/>
        <n v="0.1616"/>
        <n v="0.04762"/>
        <n v="0.04339"/>
        <n v="0.0"/>
        <n v="0.12721"/>
        <n v="0.12372"/>
        <n v="0.08404"/>
        <n v="0.04472"/>
        <n v="0.1388"/>
        <n v="0.03061"/>
        <n v="0.01521"/>
        <n v="0.07047"/>
        <n v="0.11556"/>
        <n v="0.36794"/>
        <n v="0.0817"/>
        <n v="0.04127"/>
        <n v="0.13509"/>
        <n v="0.03285"/>
        <n v="0.22423"/>
        <n v="0.0305"/>
        <n v="0.06906"/>
        <n v="0.0557"/>
        <n v="0.11479"/>
        <n v="0.07008"/>
        <n v="0.05301"/>
        <n v="0.12583"/>
        <n v="0.08196"/>
        <n v="0.13636"/>
        <n v="0.10398"/>
        <n v="0.06126"/>
        <n v="0.1717"/>
        <n v="0.08415"/>
        <n v="0.07964"/>
        <n v="0.08722"/>
        <n v="0.20243"/>
        <n v="0.10393"/>
        <n v="0.03616"/>
        <n v="0.06686"/>
        <n v="0.01829"/>
        <n v="0.0326"/>
        <n v="0.06075"/>
        <n v="0.3188"/>
        <n v="0.09753"/>
        <n v="0.11681"/>
        <n v="0.00615"/>
        <n v="0.17955"/>
        <n v="0.08582"/>
        <n v="0.07564"/>
        <n v="0.10039"/>
        <n v="0.09314"/>
        <n v="0.13647"/>
        <n v="0.14476"/>
        <n v="0.10769"/>
        <n v="0.18437"/>
        <n v="0.1553"/>
        <n v="0.08092"/>
        <n v="0.08434"/>
        <n v="0.17176"/>
        <n v="0.13015"/>
        <n v="0.04952"/>
        <n v="0.12533"/>
        <n v="0.06442"/>
        <n v="0.05892"/>
        <n v="0.07506"/>
        <n v="0.05099"/>
        <n v="0.04852"/>
        <n v="0.1192"/>
        <n v="0.50521"/>
        <n v="0.06681"/>
        <n v="0.07112"/>
        <n v="0.11587"/>
        <n v="0.17233"/>
        <n v="0.09419"/>
      </sharedItems>
    </cacheField>
    <cacheField name="Generosity" numFmtId="0">
      <sharedItems containsSemiMixedTypes="0" containsString="0" containsNumber="1">
        <n v="0.36171"/>
        <n v="0.28083"/>
        <n v="0.47678"/>
        <n v="0.37895"/>
        <n v="0.25492"/>
        <n v="0.44834"/>
        <n v="0.47416"/>
        <n v="0.49401"/>
        <n v="0.47407"/>
        <n v="0.38254"/>
        <n v="0.32288"/>
        <n v="0.32865"/>
        <n v="0.41077"/>
        <n v="0.22553"/>
        <n v="0.22202"/>
        <n v="0.30452"/>
        <n v="0.15776"/>
        <n v="0.2424"/>
        <n v="0.44963"/>
        <n v="0.27571"/>
        <n v="0.11735"/>
        <n v="0.32706"/>
        <n v="0.50156"/>
        <n v="0.31595"/>
        <n v="0.2418"/>
        <n v="0.10989"/>
        <n v="0.09929"/>
        <n v="0.26591"/>
        <n v="0.18056"/>
        <n v="0.56237"/>
        <n v="0.15626"/>
        <n v="0.1216"/>
        <n v="0.58696"/>
        <n v="0.15457"/>
        <n v="0.25495"/>
        <n v="0.32388"/>
        <n v="0.17665"/>
        <n v="0.07044"/>
        <n v="0.28808"/>
        <n v="0.16665"/>
        <n v="0.15965"/>
        <n v="0.17147"/>
        <n v="0.31935"/>
        <n v="0.0425"/>
        <n v="0.13837"/>
        <n v="0.08877"/>
        <n v="0.41474"/>
        <n v="0.29773"/>
        <n v="0.34326"/>
        <n v="0.16684"/>
        <n v="0.10074"/>
        <n v="0.23684"/>
        <n v="0.10224"/>
        <n v="0.15011"/>
        <n v="0.19997"/>
        <n v="0.02736"/>
        <n v="0.14443"/>
        <n v="0.18824"/>
        <n v="0.21698"/>
        <n v="0.02025"/>
        <n v="0.13942"/>
        <n v="0.26322"/>
        <n v="0.25738"/>
        <n v="0.14527"/>
        <n v="0.22567"/>
        <n v="0.36951"/>
        <n v="0.17087"/>
        <n v="0.17445"/>
        <n v="0.27906"/>
        <n v="0.25296"/>
        <n v="0.12889"/>
        <n v="0.08423"/>
        <n v="0.22245"/>
        <n v="0.18434"/>
        <n v="0.40097"/>
        <n v="0.27225"/>
        <n v="0.27992"/>
        <n v="0.04707"/>
        <n v="0.56521"/>
        <n v="0.14262"/>
        <n v="0.0564"/>
        <n v="0.21674"/>
        <n v="0.04959"/>
        <n v="0.48546"/>
        <n v="0.38432"/>
        <n v="0.20737"/>
        <n v="0.29889"/>
        <n v="0.17191"/>
        <n v="0.21286"/>
        <n v="0.04053"/>
        <n v="0.099"/>
        <n v="0.31185"/>
        <n v="0.23693"/>
        <n v="0.11691"/>
        <n v="0.23507"/>
        <n v="0.25075"/>
        <n v="0.51479"/>
        <n v="0.03936"/>
        <n v="0.0"/>
        <n v="0.25998"/>
        <n v="0.34539"/>
        <n v="0.43079"/>
        <n v="0.23219"/>
        <n v="0.2044"/>
        <n v="0.38538"/>
        <n v="0.17866"/>
        <n v="0.3816"/>
        <n v="0.11154"/>
        <n v="0.1684"/>
        <n v="0.19132"/>
        <n v="0.23897"/>
        <n v="0.19589"/>
        <n v="0.07795"/>
        <n v="0.2268"/>
        <n v="0.29522"/>
        <n v="0.13656"/>
        <n v="0.46978"/>
        <n v="0.25028"/>
        <n v="0.81971"/>
        <n v="0.12706"/>
        <n v="0.07793"/>
        <n v="0.41328"/>
        <n v="0.20363"/>
        <n v="0.21203"/>
        <n v="0.25458"/>
        <n v="0.06786"/>
        <n v="0.12077"/>
        <n v="0.19103"/>
        <n v="0.12793"/>
        <n v="0.22686"/>
        <n v="0.18503"/>
        <n v="0.30968"/>
        <n v="0.18077"/>
        <n v="0.06244"/>
        <n v="0.21064"/>
        <n v="0.47958"/>
        <n v="0.12425"/>
        <n v="0.1827"/>
        <n v="0.20338"/>
        <n v="0.40339"/>
        <n v="0.12071"/>
        <n v="0.2097"/>
        <n v="0.25899"/>
        <n v="0.18667"/>
        <n v="0.24353"/>
        <n v="0.27102"/>
        <n v="0.09821"/>
        <n v="0.2204"/>
        <n v="0.31472"/>
        <n v="0.24063"/>
        <n v="0.29914"/>
        <n v="0.23552"/>
        <n v="0.2018"/>
        <n v="0.31268"/>
        <n v="0.17517"/>
        <n v="0.48397"/>
        <n v="0.2029"/>
      </sharedItems>
    </cacheField>
    <cacheField name="Dystopia Residual" numFmtId="0">
      <sharedItems containsSemiMixedTypes="0" containsString="0" containsNumber="1">
        <n v="2.73939"/>
        <n v="2.69463"/>
        <n v="2.83137"/>
        <n v="2.66465"/>
        <n v="2.82596"/>
        <n v="2.70485"/>
        <n v="2.70749"/>
        <n v="2.47553"/>
        <n v="2.5465"/>
        <n v="2.54734"/>
        <n v="3.31029"/>
        <n v="2.69343"/>
        <n v="2.72782"/>
        <n v="3.35168"/>
        <n v="3.0076"/>
        <n v="2.50931"/>
        <n v="3.50733"/>
        <n v="2.61355"/>
        <n v="2.15988"/>
        <n v="2.11055"/>
        <n v="3.55906"/>
        <n v="1.99375"/>
        <n v="2.14999"/>
        <n v="2.95505"/>
        <n v="3.00559"/>
        <n v="3.12985"/>
        <n v="2.96211"/>
        <n v="2.21507"/>
        <n v="2.67139"/>
        <n v="1.99032"/>
        <n v="3.17471"/>
        <n v="2.4744"/>
        <n v="2.5796"/>
        <n v="2.61482"/>
        <n v="2.61523"/>
        <n v="1.58224"/>
        <n v="2.39663"/>
        <n v="3.40904"/>
        <n v="3.19863"/>
        <n v="3.06852"/>
        <n v="2.28085"/>
        <n v="2.27405"/>
        <n v="2.51394"/>
        <n v="2.97468"/>
        <n v="2.61065"/>
        <n v="3.22134"/>
        <n v="2.35384"/>
        <n v="2.82428"/>
        <n v="2.34638"/>
        <n v="2.34918"/>
        <n v="2.77366"/>
        <n v="3.08039"/>
        <n v="1.80584"/>
        <n v="2.49325"/>
        <n v="3.38007"/>
        <n v="2.59115"/>
        <n v="2.20035"/>
        <n v="2.35015"/>
        <n v="2.91635"/>
        <n v="2.60525"/>
        <n v="2.38582"/>
        <n v="1.93447"/>
        <n v="1.79522"/>
        <n v="2.73117"/>
        <n v="2.21489"/>
        <n v="2.20223"/>
        <n v="2.39374"/>
        <n v="2.20859"/>
        <n v="2.04497"/>
        <n v="2.16091"/>
        <n v="2.45184"/>
        <n v="1.81985"/>
        <n v="2.35682"/>
        <n v="2.52462"/>
        <n v="0.92614"/>
        <n v="3.83772"/>
        <n v="2.80998"/>
        <n v="2.29074"/>
        <n v="2.03171"/>
        <n v="2.20142"/>
        <n v="2.2735"/>
        <n v="2.23484"/>
        <n v="2.17087"/>
        <n v="1.82916"/>
        <n v="2.28136"/>
        <n v="2.27539"/>
        <n v="2.48406"/>
        <n v="2.25531"/>
        <n v="1.69626"/>
        <n v="2.94891"/>
        <n v="1.95473"/>
        <n v="3.18286"/>
        <n v="2.07339"/>
        <n v="1.53015"/>
        <n v="2.08947"/>
        <n v="1.9418"/>
        <n v="2.43801"/>
        <n v="2.68413"/>
        <n v="2.12944"/>
        <n v="2.39106"/>
        <n v="1.53586"/>
        <n v="2.08637"/>
        <n v="2.88586"/>
        <n v="2.29551"/>
        <n v="1.99817"/>
        <n v="2.58991"/>
        <n v="2.32694"/>
        <n v="2.40364"/>
        <n v="1.92816"/>
        <n v="2.60904"/>
        <n v="3.01402"/>
        <n v="1.81657"/>
        <n v="1.92198"/>
        <n v="2.5198"/>
        <n v="2.65614"/>
        <n v="1.64227"/>
        <n v="0.91681"/>
        <n v="2.18032"/>
        <n v="1.50655"/>
        <n v="1.96895"/>
        <n v="1.97864"/>
        <n v="1.88326"/>
        <n v="1.50066"/>
        <n v="2.2002"/>
        <n v="2.74924"/>
        <n v="1.87031"/>
        <n v="2.10681"/>
        <n v="1.97861"/>
        <n v="1.15377"/>
        <n v="1.9263"/>
        <n v="2.4427"/>
        <n v="2.82859"/>
        <n v="2.10995"/>
        <n v="1.45332"/>
        <n v="2.11087"/>
        <n v="2.37116"/>
        <n v="0.96741"/>
        <n v="2.25632"/>
        <n v="1.97478"/>
        <n v="1.31573"/>
        <n v="2.09459"/>
        <n v="2.09469"/>
        <n v="2.50929"/>
        <n v="2.30637"/>
        <n v="1.87319"/>
        <n v="1.51416"/>
        <n v="1.97295"/>
        <n v="2.15075"/>
        <n v="1.37769"/>
        <n v="2.23284"/>
        <n v="2.15604"/>
        <n v="0.96819"/>
        <n v="2.10812"/>
        <n v="2.14558"/>
        <n v="2.1354"/>
        <n v="0.81789"/>
        <n v="2.1040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OP_TEN_HAPPIEST_COUNTRIE" cacheId="0" dataCaption="" rowGrandTotals="0" createdVersion="6" compact="0" compactData="0">
  <location ref="A3:B13" firstHeaderRow="0" firstDataRow="1" firstDataCol="0" rowPageCount="1" colPageCount="1"/>
  <pivotFields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appiness Rank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Happiness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Lower Confidenc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pper Confidenc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Economy (GDP per Capit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Health (Life Expectanc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Freed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Trust (Government Corruptio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Genero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Dystopia Resid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</pivotFields>
  <rowFields>
    <field x="0"/>
  </rowFields>
  <pageFields>
    <pageField fld="2"/>
  </pageFields>
  <dataFields>
    <dataField name="SUM of Happiness Score" fld="3" baseField="0"/>
  </dataFields>
  <filters>
    <filter fld="2" type="captionLessThanOrEqual" evalOrder="-1" id="1" stringValue1="10">
      <autoFilter ref="A1">
        <filterColumn colId="0">
          <customFilters>
            <customFilter operator="lessThanOrEqual" val="10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DASHBOARD " cacheId="0" dataCaption="" rowGrandTotals="0" createdVersion="6" compact="0" compactData="0">
  <location ref="J6:K16" firstHeaderRow="0" firstDataRow="1" firstDataCol="0" rowPageCount="1" colPageCount="1"/>
  <pivotFields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appiness Rank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Happiness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Lower Confidenc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Upper Confidenc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Economy (GDP per Capit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Health (Life Expectanc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Freed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Trust (Government Corruptio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Genero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Dystopia Resid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</pivotFields>
  <rowFields>
    <field x="0"/>
  </rowFields>
  <pageFields>
    <pageField fld="2"/>
  </pageFields>
  <dataFields>
    <dataField name="SUM of Happiness Score" fld="3" baseField="0"/>
  </dataFields>
  <filters>
    <filter fld="2" type="captionLessThanOrEqual" evalOrder="-1" id="1" stringValue1="10">
      <autoFilter ref="A1">
        <filterColumn colId="0">
          <customFilters>
            <customFilter operator="lessThanOrEqual" val="10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1.0</v>
      </c>
      <c r="D2" s="1">
        <v>7.526</v>
      </c>
      <c r="E2" s="1">
        <v>7.46</v>
      </c>
      <c r="F2" s="1">
        <v>7.592</v>
      </c>
      <c r="G2" s="1">
        <v>1.44178</v>
      </c>
      <c r="H2" s="1">
        <v>1.16374</v>
      </c>
      <c r="I2" s="1">
        <v>0.79504</v>
      </c>
      <c r="J2" s="1">
        <v>0.57941</v>
      </c>
      <c r="K2" s="1">
        <v>0.44453</v>
      </c>
      <c r="L2" s="1">
        <v>0.36171</v>
      </c>
      <c r="M2" s="1">
        <v>2.73939</v>
      </c>
    </row>
    <row r="3">
      <c r="A3" s="1" t="s">
        <v>15</v>
      </c>
      <c r="B3" s="1" t="s">
        <v>14</v>
      </c>
      <c r="C3" s="1">
        <v>2.0</v>
      </c>
      <c r="D3" s="1">
        <v>7.509</v>
      </c>
      <c r="E3" s="1">
        <v>7.428</v>
      </c>
      <c r="F3" s="1">
        <v>7.59</v>
      </c>
      <c r="G3" s="1">
        <v>1.52733</v>
      </c>
      <c r="H3" s="1">
        <v>1.14524</v>
      </c>
      <c r="I3" s="1">
        <v>0.86303</v>
      </c>
      <c r="J3" s="1">
        <v>0.58557</v>
      </c>
      <c r="K3" s="1">
        <v>0.41203</v>
      </c>
      <c r="L3" s="1">
        <v>0.28083</v>
      </c>
      <c r="M3" s="1">
        <v>2.69463</v>
      </c>
    </row>
    <row r="4">
      <c r="A4" s="1" t="s">
        <v>16</v>
      </c>
      <c r="B4" s="1" t="s">
        <v>14</v>
      </c>
      <c r="C4" s="1">
        <v>3.0</v>
      </c>
      <c r="D4" s="1">
        <v>7.501</v>
      </c>
      <c r="E4" s="1">
        <v>7.333</v>
      </c>
      <c r="F4" s="1">
        <v>7.669</v>
      </c>
      <c r="G4" s="1">
        <v>1.42666</v>
      </c>
      <c r="H4" s="1">
        <v>1.18326</v>
      </c>
      <c r="I4" s="1">
        <v>0.86733</v>
      </c>
      <c r="J4" s="1">
        <v>0.56624</v>
      </c>
      <c r="K4" s="1">
        <v>0.14975</v>
      </c>
      <c r="L4" s="1">
        <v>0.47678</v>
      </c>
      <c r="M4" s="1">
        <v>2.83137</v>
      </c>
    </row>
    <row r="5">
      <c r="A5" s="1" t="s">
        <v>17</v>
      </c>
      <c r="B5" s="1" t="s">
        <v>14</v>
      </c>
      <c r="C5" s="1">
        <v>4.0</v>
      </c>
      <c r="D5" s="1">
        <v>7.498</v>
      </c>
      <c r="E5" s="1">
        <v>7.421</v>
      </c>
      <c r="F5" s="1">
        <v>7.575</v>
      </c>
      <c r="G5" s="1">
        <v>1.57744</v>
      </c>
      <c r="H5" s="1">
        <v>1.1269</v>
      </c>
      <c r="I5" s="1">
        <v>0.79579</v>
      </c>
      <c r="J5" s="1">
        <v>0.59609</v>
      </c>
      <c r="K5" s="1">
        <v>0.35776</v>
      </c>
      <c r="L5" s="1">
        <v>0.37895</v>
      </c>
      <c r="M5" s="1">
        <v>2.66465</v>
      </c>
    </row>
    <row r="6">
      <c r="A6" s="1" t="s">
        <v>18</v>
      </c>
      <c r="B6" s="1" t="s">
        <v>14</v>
      </c>
      <c r="C6" s="1">
        <v>5.0</v>
      </c>
      <c r="D6" s="1">
        <v>7.413</v>
      </c>
      <c r="E6" s="1">
        <v>7.351</v>
      </c>
      <c r="F6" s="1">
        <v>7.475</v>
      </c>
      <c r="G6" s="1">
        <v>1.40598</v>
      </c>
      <c r="H6" s="1">
        <v>1.13464</v>
      </c>
      <c r="I6" s="1">
        <v>0.81091</v>
      </c>
      <c r="J6" s="1">
        <v>0.57104</v>
      </c>
      <c r="K6" s="1">
        <v>0.41004</v>
      </c>
      <c r="L6" s="1">
        <v>0.25492</v>
      </c>
      <c r="M6" s="1">
        <v>2.82596</v>
      </c>
    </row>
    <row r="7">
      <c r="A7" s="1" t="s">
        <v>19</v>
      </c>
      <c r="B7" s="1" t="s">
        <v>20</v>
      </c>
      <c r="C7" s="1">
        <v>6.0</v>
      </c>
      <c r="D7" s="1">
        <v>7.404</v>
      </c>
      <c r="E7" s="1">
        <v>7.335</v>
      </c>
      <c r="F7" s="1">
        <v>7.473</v>
      </c>
      <c r="G7" s="1">
        <v>1.44015</v>
      </c>
      <c r="H7" s="1">
        <v>1.0961</v>
      </c>
      <c r="I7" s="1">
        <v>0.8276</v>
      </c>
      <c r="J7" s="1">
        <v>0.5737</v>
      </c>
      <c r="K7" s="1">
        <v>0.31329</v>
      </c>
      <c r="L7" s="1">
        <v>0.44834</v>
      </c>
      <c r="M7" s="1">
        <v>2.70485</v>
      </c>
    </row>
    <row r="8">
      <c r="A8" s="1" t="s">
        <v>21</v>
      </c>
      <c r="B8" s="1" t="s">
        <v>14</v>
      </c>
      <c r="C8" s="1">
        <v>7.0</v>
      </c>
      <c r="D8" s="1">
        <v>7.339</v>
      </c>
      <c r="E8" s="1">
        <v>7.284</v>
      </c>
      <c r="F8" s="1">
        <v>7.394</v>
      </c>
      <c r="G8" s="1">
        <v>1.46468</v>
      </c>
      <c r="H8" s="1">
        <v>1.02912</v>
      </c>
      <c r="I8" s="1">
        <v>0.81231</v>
      </c>
      <c r="J8" s="1">
        <v>0.55211</v>
      </c>
      <c r="K8" s="1">
        <v>0.29927</v>
      </c>
      <c r="L8" s="1">
        <v>0.47416</v>
      </c>
      <c r="M8" s="1">
        <v>2.70749</v>
      </c>
    </row>
    <row r="9">
      <c r="A9" s="1" t="s">
        <v>22</v>
      </c>
      <c r="B9" s="1" t="s">
        <v>23</v>
      </c>
      <c r="C9" s="1">
        <v>8.0</v>
      </c>
      <c r="D9" s="1">
        <v>7.334</v>
      </c>
      <c r="E9" s="1">
        <v>7.264</v>
      </c>
      <c r="F9" s="1">
        <v>7.404</v>
      </c>
      <c r="G9" s="1">
        <v>1.36066</v>
      </c>
      <c r="H9" s="1">
        <v>1.17278</v>
      </c>
      <c r="I9" s="1">
        <v>0.83096</v>
      </c>
      <c r="J9" s="1">
        <v>0.58147</v>
      </c>
      <c r="K9" s="1">
        <v>0.41904</v>
      </c>
      <c r="L9" s="1">
        <v>0.49401</v>
      </c>
      <c r="M9" s="1">
        <v>2.47553</v>
      </c>
    </row>
    <row r="10">
      <c r="A10" s="1" t="s">
        <v>24</v>
      </c>
      <c r="B10" s="1" t="s">
        <v>23</v>
      </c>
      <c r="C10" s="1">
        <v>9.0</v>
      </c>
      <c r="D10" s="1">
        <v>7.313</v>
      </c>
      <c r="E10" s="1">
        <v>7.241</v>
      </c>
      <c r="F10" s="1">
        <v>7.385</v>
      </c>
      <c r="G10" s="1">
        <v>1.44443</v>
      </c>
      <c r="H10" s="1">
        <v>1.10476</v>
      </c>
      <c r="I10" s="1">
        <v>0.8512</v>
      </c>
      <c r="J10" s="1">
        <v>0.56837</v>
      </c>
      <c r="K10" s="1">
        <v>0.32331</v>
      </c>
      <c r="L10" s="1">
        <v>0.47407</v>
      </c>
      <c r="M10" s="1">
        <v>2.5465</v>
      </c>
    </row>
    <row r="11">
      <c r="A11" s="1" t="s">
        <v>25</v>
      </c>
      <c r="B11" s="1" t="s">
        <v>14</v>
      </c>
      <c r="C11" s="1">
        <v>10.0</v>
      </c>
      <c r="D11" s="1">
        <v>7.291</v>
      </c>
      <c r="E11" s="1">
        <v>7.227</v>
      </c>
      <c r="F11" s="1">
        <v>7.355</v>
      </c>
      <c r="G11" s="1">
        <v>1.45181</v>
      </c>
      <c r="H11" s="1">
        <v>1.08764</v>
      </c>
      <c r="I11" s="1">
        <v>0.83121</v>
      </c>
      <c r="J11" s="1">
        <v>0.58218</v>
      </c>
      <c r="K11" s="1">
        <v>0.40867</v>
      </c>
      <c r="L11" s="1">
        <v>0.38254</v>
      </c>
      <c r="M11" s="1">
        <v>2.54734</v>
      </c>
    </row>
    <row r="12">
      <c r="A12" s="1" t="s">
        <v>26</v>
      </c>
      <c r="B12" s="1" t="s">
        <v>27</v>
      </c>
      <c r="C12" s="1">
        <v>11.0</v>
      </c>
      <c r="D12" s="1">
        <v>7.267</v>
      </c>
      <c r="E12" s="1">
        <v>7.199</v>
      </c>
      <c r="F12" s="1">
        <v>7.335</v>
      </c>
      <c r="G12" s="1">
        <v>1.33766</v>
      </c>
      <c r="H12" s="1">
        <v>0.99537</v>
      </c>
      <c r="I12" s="1">
        <v>0.84917</v>
      </c>
      <c r="J12" s="1">
        <v>0.36432</v>
      </c>
      <c r="K12" s="1">
        <v>0.08728</v>
      </c>
      <c r="L12" s="1">
        <v>0.32288</v>
      </c>
      <c r="M12" s="1">
        <v>3.31029</v>
      </c>
    </row>
    <row r="13">
      <c r="A13" s="1" t="s">
        <v>28</v>
      </c>
      <c r="B13" s="1" t="s">
        <v>14</v>
      </c>
      <c r="C13" s="1">
        <v>12.0</v>
      </c>
      <c r="D13" s="1">
        <v>7.119</v>
      </c>
      <c r="E13" s="1">
        <v>7.045</v>
      </c>
      <c r="F13" s="1">
        <v>7.193</v>
      </c>
      <c r="G13" s="1">
        <v>1.45038</v>
      </c>
      <c r="H13" s="1">
        <v>1.08383</v>
      </c>
      <c r="I13" s="1">
        <v>0.80565</v>
      </c>
      <c r="J13" s="1">
        <v>0.54355</v>
      </c>
      <c r="K13" s="1">
        <v>0.21348</v>
      </c>
      <c r="L13" s="1">
        <v>0.32865</v>
      </c>
      <c r="M13" s="1">
        <v>2.69343</v>
      </c>
    </row>
    <row r="14">
      <c r="A14" s="1" t="s">
        <v>29</v>
      </c>
      <c r="B14" s="1" t="s">
        <v>20</v>
      </c>
      <c r="C14" s="1">
        <v>13.0</v>
      </c>
      <c r="D14" s="1">
        <v>7.104</v>
      </c>
      <c r="E14" s="1">
        <v>7.02</v>
      </c>
      <c r="F14" s="1">
        <v>7.188</v>
      </c>
      <c r="G14" s="1">
        <v>1.50796</v>
      </c>
      <c r="H14" s="1">
        <v>1.04782</v>
      </c>
      <c r="I14" s="1">
        <v>0.779</v>
      </c>
      <c r="J14" s="1">
        <v>0.48163</v>
      </c>
      <c r="K14" s="1">
        <v>0.14868</v>
      </c>
      <c r="L14" s="1">
        <v>0.41077</v>
      </c>
      <c r="M14" s="1">
        <v>2.72782</v>
      </c>
    </row>
    <row r="15">
      <c r="A15" s="1" t="s">
        <v>30</v>
      </c>
      <c r="B15" s="1" t="s">
        <v>31</v>
      </c>
      <c r="C15" s="1">
        <v>14.0</v>
      </c>
      <c r="D15" s="1">
        <v>7.087</v>
      </c>
      <c r="E15" s="1">
        <v>6.999</v>
      </c>
      <c r="F15" s="1">
        <v>7.175</v>
      </c>
      <c r="G15" s="1">
        <v>1.06879</v>
      </c>
      <c r="H15" s="1">
        <v>1.02152</v>
      </c>
      <c r="I15" s="1">
        <v>0.76146</v>
      </c>
      <c r="J15" s="1">
        <v>0.55225</v>
      </c>
      <c r="K15" s="1">
        <v>0.10547</v>
      </c>
      <c r="L15" s="1">
        <v>0.22553</v>
      </c>
      <c r="M15" s="1">
        <v>3.35168</v>
      </c>
    </row>
    <row r="16">
      <c r="A16" s="1" t="s">
        <v>32</v>
      </c>
      <c r="B16" s="1" t="s">
        <v>31</v>
      </c>
      <c r="C16" s="1">
        <v>15.0</v>
      </c>
      <c r="D16" s="1">
        <v>7.039</v>
      </c>
      <c r="E16" s="1">
        <v>6.794</v>
      </c>
      <c r="F16" s="1">
        <v>7.284</v>
      </c>
      <c r="G16" s="1">
        <v>1.35943</v>
      </c>
      <c r="H16" s="1">
        <v>1.08113</v>
      </c>
      <c r="I16" s="1">
        <v>0.77758</v>
      </c>
      <c r="J16" s="1">
        <v>0.46823</v>
      </c>
      <c r="K16" s="1">
        <v>0.12275</v>
      </c>
      <c r="L16" s="1">
        <v>0.22202</v>
      </c>
      <c r="M16" s="1">
        <v>3.0076</v>
      </c>
    </row>
    <row r="17">
      <c r="A17" s="1" t="s">
        <v>33</v>
      </c>
      <c r="B17" s="1" t="s">
        <v>14</v>
      </c>
      <c r="C17" s="1">
        <v>16.0</v>
      </c>
      <c r="D17" s="1">
        <v>6.994</v>
      </c>
      <c r="E17" s="1">
        <v>6.93</v>
      </c>
      <c r="F17" s="1">
        <v>7.058</v>
      </c>
      <c r="G17" s="1">
        <v>1.44787</v>
      </c>
      <c r="H17" s="1">
        <v>1.09774</v>
      </c>
      <c r="I17" s="1">
        <v>0.81487</v>
      </c>
      <c r="J17" s="1">
        <v>0.53466</v>
      </c>
      <c r="K17" s="1">
        <v>0.28551</v>
      </c>
      <c r="L17" s="1">
        <v>0.30452</v>
      </c>
      <c r="M17" s="1">
        <v>2.50931</v>
      </c>
    </row>
    <row r="18">
      <c r="A18" s="1" t="s">
        <v>34</v>
      </c>
      <c r="B18" s="1" t="s">
        <v>31</v>
      </c>
      <c r="C18" s="1">
        <v>17.0</v>
      </c>
      <c r="D18" s="1">
        <v>6.952</v>
      </c>
      <c r="E18" s="1">
        <v>6.875</v>
      </c>
      <c r="F18" s="1">
        <v>7.029</v>
      </c>
      <c r="G18" s="1">
        <v>1.08754</v>
      </c>
      <c r="H18" s="1">
        <v>1.03938</v>
      </c>
      <c r="I18" s="1">
        <v>0.61415</v>
      </c>
      <c r="J18" s="1">
        <v>0.40425</v>
      </c>
      <c r="K18" s="1">
        <v>0.14166</v>
      </c>
      <c r="L18" s="1">
        <v>0.15776</v>
      </c>
      <c r="M18" s="1">
        <v>3.50733</v>
      </c>
    </row>
    <row r="19">
      <c r="A19" s="1" t="s">
        <v>35</v>
      </c>
      <c r="B19" s="1" t="s">
        <v>14</v>
      </c>
      <c r="C19" s="1">
        <v>18.0</v>
      </c>
      <c r="D19" s="1">
        <v>6.929</v>
      </c>
      <c r="E19" s="1">
        <v>6.861</v>
      </c>
      <c r="F19" s="1">
        <v>6.997</v>
      </c>
      <c r="G19" s="1">
        <v>1.42539</v>
      </c>
      <c r="H19" s="1">
        <v>1.05249</v>
      </c>
      <c r="I19" s="1">
        <v>0.81959</v>
      </c>
      <c r="J19" s="1">
        <v>0.51354</v>
      </c>
      <c r="K19" s="1">
        <v>0.26248</v>
      </c>
      <c r="L19" s="1">
        <v>0.2424</v>
      </c>
      <c r="M19" s="1">
        <v>2.61355</v>
      </c>
    </row>
    <row r="20">
      <c r="A20" s="1" t="s">
        <v>36</v>
      </c>
      <c r="B20" s="1" t="s">
        <v>14</v>
      </c>
      <c r="C20" s="1">
        <v>19.0</v>
      </c>
      <c r="D20" s="1">
        <v>6.907</v>
      </c>
      <c r="E20" s="1">
        <v>6.836</v>
      </c>
      <c r="F20" s="1">
        <v>6.978</v>
      </c>
      <c r="G20" s="1">
        <v>1.48341</v>
      </c>
      <c r="H20" s="1">
        <v>1.16157</v>
      </c>
      <c r="I20" s="1">
        <v>0.81455</v>
      </c>
      <c r="J20" s="1">
        <v>0.54008</v>
      </c>
      <c r="K20" s="1">
        <v>0.29754</v>
      </c>
      <c r="L20" s="1">
        <v>0.44963</v>
      </c>
      <c r="M20" s="1">
        <v>2.15988</v>
      </c>
    </row>
    <row r="21">
      <c r="A21" s="1" t="s">
        <v>37</v>
      </c>
      <c r="B21" s="1" t="s">
        <v>14</v>
      </c>
      <c r="C21" s="1">
        <v>20.0</v>
      </c>
      <c r="D21" s="1">
        <v>6.871</v>
      </c>
      <c r="E21" s="1">
        <v>6.804</v>
      </c>
      <c r="F21" s="1">
        <v>6.938</v>
      </c>
      <c r="G21" s="1">
        <v>1.69752</v>
      </c>
      <c r="H21" s="1">
        <v>1.03999</v>
      </c>
      <c r="I21" s="1">
        <v>0.84542</v>
      </c>
      <c r="J21" s="1">
        <v>0.5487</v>
      </c>
      <c r="K21" s="1">
        <v>0.35329</v>
      </c>
      <c r="L21" s="1">
        <v>0.27571</v>
      </c>
      <c r="M21" s="1">
        <v>2.11055</v>
      </c>
    </row>
    <row r="22">
      <c r="A22" s="1" t="s">
        <v>38</v>
      </c>
      <c r="B22" s="1" t="s">
        <v>31</v>
      </c>
      <c r="C22" s="1">
        <v>21.0</v>
      </c>
      <c r="D22" s="1">
        <v>6.778</v>
      </c>
      <c r="E22" s="1">
        <v>6.68</v>
      </c>
      <c r="F22" s="1">
        <v>6.876</v>
      </c>
      <c r="G22" s="1">
        <v>1.11508</v>
      </c>
      <c r="H22" s="1">
        <v>0.7146</v>
      </c>
      <c r="I22" s="1">
        <v>0.71143</v>
      </c>
      <c r="J22" s="1">
        <v>0.37709</v>
      </c>
      <c r="K22" s="1">
        <v>0.18355</v>
      </c>
      <c r="L22" s="1">
        <v>0.11735</v>
      </c>
      <c r="M22" s="1">
        <v>3.55906</v>
      </c>
    </row>
    <row r="23">
      <c r="A23" s="1" t="s">
        <v>39</v>
      </c>
      <c r="B23" s="1" t="s">
        <v>40</v>
      </c>
      <c r="C23" s="1">
        <v>22.0</v>
      </c>
      <c r="D23" s="1">
        <v>6.739</v>
      </c>
      <c r="E23" s="1">
        <v>6.674</v>
      </c>
      <c r="F23" s="1">
        <v>6.804</v>
      </c>
      <c r="G23" s="1">
        <v>1.64555</v>
      </c>
      <c r="H23" s="1">
        <v>0.86758</v>
      </c>
      <c r="I23" s="1">
        <v>0.94719</v>
      </c>
      <c r="J23" s="1">
        <v>0.4877</v>
      </c>
      <c r="K23" s="1">
        <v>0.46987</v>
      </c>
      <c r="L23" s="1">
        <v>0.32706</v>
      </c>
      <c r="M23" s="1">
        <v>1.99375</v>
      </c>
    </row>
    <row r="24">
      <c r="A24" s="1" t="s">
        <v>41</v>
      </c>
      <c r="B24" s="1" t="s">
        <v>14</v>
      </c>
      <c r="C24" s="1">
        <v>23.0</v>
      </c>
      <c r="D24" s="1">
        <v>6.725</v>
      </c>
      <c r="E24" s="1">
        <v>6.647</v>
      </c>
      <c r="F24" s="1">
        <v>6.803</v>
      </c>
      <c r="G24" s="1">
        <v>1.40283</v>
      </c>
      <c r="H24" s="1">
        <v>1.08672</v>
      </c>
      <c r="I24" s="1">
        <v>0.80991</v>
      </c>
      <c r="J24" s="1">
        <v>0.50036</v>
      </c>
      <c r="K24" s="1">
        <v>0.27399</v>
      </c>
      <c r="L24" s="1">
        <v>0.50156</v>
      </c>
      <c r="M24" s="1">
        <v>2.14999</v>
      </c>
    </row>
    <row r="25">
      <c r="A25" s="1" t="s">
        <v>42</v>
      </c>
      <c r="B25" s="1" t="s">
        <v>31</v>
      </c>
      <c r="C25" s="1">
        <v>24.0</v>
      </c>
      <c r="D25" s="1">
        <v>6.705</v>
      </c>
      <c r="E25" s="1">
        <v>6.615</v>
      </c>
      <c r="F25" s="1">
        <v>6.795</v>
      </c>
      <c r="G25" s="1">
        <v>1.2167</v>
      </c>
      <c r="H25" s="1">
        <v>0.90587</v>
      </c>
      <c r="I25" s="1">
        <v>0.81883</v>
      </c>
      <c r="J25" s="1">
        <v>0.37789</v>
      </c>
      <c r="K25" s="1">
        <v>0.11451</v>
      </c>
      <c r="L25" s="1">
        <v>0.31595</v>
      </c>
      <c r="M25" s="1">
        <v>2.95505</v>
      </c>
    </row>
    <row r="26">
      <c r="A26" s="1" t="s">
        <v>43</v>
      </c>
      <c r="B26" s="1" t="s">
        <v>31</v>
      </c>
      <c r="C26" s="1">
        <v>25.0</v>
      </c>
      <c r="D26" s="1">
        <v>6.701</v>
      </c>
      <c r="E26" s="1">
        <v>6.601</v>
      </c>
      <c r="F26" s="1">
        <v>6.801</v>
      </c>
      <c r="G26" s="1">
        <v>1.18306</v>
      </c>
      <c r="H26" s="1">
        <v>0.98912</v>
      </c>
      <c r="I26" s="1">
        <v>0.70835</v>
      </c>
      <c r="J26" s="1">
        <v>0.48927</v>
      </c>
      <c r="K26" s="1">
        <v>0.08423</v>
      </c>
      <c r="L26" s="1">
        <v>0.2418</v>
      </c>
      <c r="M26" s="1">
        <v>3.00559</v>
      </c>
    </row>
    <row r="27">
      <c r="A27" s="1" t="s">
        <v>44</v>
      </c>
      <c r="B27" s="1" t="s">
        <v>31</v>
      </c>
      <c r="C27" s="1">
        <v>26.0</v>
      </c>
      <c r="D27" s="1">
        <v>6.65</v>
      </c>
      <c r="E27" s="1">
        <v>6.56</v>
      </c>
      <c r="F27" s="1">
        <v>6.74</v>
      </c>
      <c r="G27" s="1">
        <v>1.15137</v>
      </c>
      <c r="H27" s="1">
        <v>1.06612</v>
      </c>
      <c r="I27" s="1">
        <v>0.69711</v>
      </c>
      <c r="J27" s="1">
        <v>0.42284</v>
      </c>
      <c r="K27" s="1">
        <v>0.07296</v>
      </c>
      <c r="L27" s="1">
        <v>0.10989</v>
      </c>
      <c r="M27" s="1">
        <v>3.12985</v>
      </c>
    </row>
    <row r="28">
      <c r="A28" s="1" t="s">
        <v>45</v>
      </c>
      <c r="B28" s="1" t="s">
        <v>46</v>
      </c>
      <c r="C28" s="1">
        <v>27.0</v>
      </c>
      <c r="D28" s="1">
        <v>6.596</v>
      </c>
      <c r="E28" s="1">
        <v>6.515</v>
      </c>
      <c r="F28" s="1">
        <v>6.677</v>
      </c>
      <c r="G28" s="1">
        <v>1.30915</v>
      </c>
      <c r="H28" s="1">
        <v>1.00793</v>
      </c>
      <c r="I28" s="1">
        <v>0.76376</v>
      </c>
      <c r="J28" s="1">
        <v>0.41418</v>
      </c>
      <c r="K28" s="1">
        <v>0.03986</v>
      </c>
      <c r="L28" s="1">
        <v>0.09929</v>
      </c>
      <c r="M28" s="1">
        <v>2.96211</v>
      </c>
    </row>
    <row r="29">
      <c r="A29" s="1" t="s">
        <v>47</v>
      </c>
      <c r="B29" s="1" t="s">
        <v>27</v>
      </c>
      <c r="C29" s="1">
        <v>28.0</v>
      </c>
      <c r="D29" s="1">
        <v>6.573</v>
      </c>
      <c r="E29" s="1">
        <v>6.494</v>
      </c>
      <c r="F29" s="1">
        <v>6.652</v>
      </c>
      <c r="G29" s="1">
        <v>1.57352</v>
      </c>
      <c r="H29" s="1">
        <v>0.87114</v>
      </c>
      <c r="I29" s="1">
        <v>0.72993</v>
      </c>
      <c r="J29" s="1">
        <v>0.56215</v>
      </c>
      <c r="K29" s="1">
        <v>0.35561</v>
      </c>
      <c r="L29" s="1">
        <v>0.26591</v>
      </c>
      <c r="M29" s="1">
        <v>2.21507</v>
      </c>
    </row>
    <row r="30">
      <c r="A30" s="1" t="s">
        <v>48</v>
      </c>
      <c r="B30" s="1" t="s">
        <v>31</v>
      </c>
      <c r="C30" s="1">
        <v>29.0</v>
      </c>
      <c r="D30" s="1">
        <v>6.545</v>
      </c>
      <c r="E30" s="1">
        <v>6.456</v>
      </c>
      <c r="F30" s="1">
        <v>6.634</v>
      </c>
      <c r="G30" s="1">
        <v>1.18157</v>
      </c>
      <c r="H30" s="1">
        <v>1.03143</v>
      </c>
      <c r="I30" s="1">
        <v>0.72183</v>
      </c>
      <c r="J30" s="1">
        <v>0.54388</v>
      </c>
      <c r="K30" s="1">
        <v>0.21394</v>
      </c>
      <c r="L30" s="1">
        <v>0.18056</v>
      </c>
      <c r="M30" s="1">
        <v>2.67139</v>
      </c>
    </row>
    <row r="31">
      <c r="A31" s="1" t="s">
        <v>49</v>
      </c>
      <c r="B31" s="1" t="s">
        <v>14</v>
      </c>
      <c r="C31" s="1">
        <v>30.0</v>
      </c>
      <c r="D31" s="1">
        <v>6.488</v>
      </c>
      <c r="E31" s="1">
        <v>6.409</v>
      </c>
      <c r="F31" s="1">
        <v>6.567</v>
      </c>
      <c r="G31" s="1">
        <v>1.30782</v>
      </c>
      <c r="H31" s="1">
        <v>1.09879</v>
      </c>
      <c r="I31" s="1">
        <v>0.80315</v>
      </c>
      <c r="J31" s="1">
        <v>0.54994</v>
      </c>
      <c r="K31" s="1">
        <v>0.17554</v>
      </c>
      <c r="L31" s="1">
        <v>0.56237</v>
      </c>
      <c r="M31" s="1">
        <v>1.99032</v>
      </c>
    </row>
    <row r="32">
      <c r="A32" s="1" t="s">
        <v>50</v>
      </c>
      <c r="B32" s="1" t="s">
        <v>31</v>
      </c>
      <c r="C32" s="1">
        <v>31.0</v>
      </c>
      <c r="D32" s="1">
        <v>6.481</v>
      </c>
      <c r="E32" s="1">
        <v>6.384</v>
      </c>
      <c r="F32" s="1">
        <v>6.578</v>
      </c>
      <c r="G32" s="1">
        <v>1.03032</v>
      </c>
      <c r="H32" s="1">
        <v>1.02169</v>
      </c>
      <c r="I32" s="1">
        <v>0.59659</v>
      </c>
      <c r="J32" s="1">
        <v>0.44735</v>
      </c>
      <c r="K32" s="1">
        <v>0.05399</v>
      </c>
      <c r="L32" s="1">
        <v>0.15626</v>
      </c>
      <c r="M32" s="1">
        <v>3.17471</v>
      </c>
    </row>
    <row r="33">
      <c r="A33" s="1" t="s">
        <v>51</v>
      </c>
      <c r="B33" s="1" t="s">
        <v>14</v>
      </c>
      <c r="C33" s="1">
        <v>32.0</v>
      </c>
      <c r="D33" s="1">
        <v>6.478</v>
      </c>
      <c r="E33" s="1">
        <v>6.397</v>
      </c>
      <c r="F33" s="1">
        <v>6.559</v>
      </c>
      <c r="G33" s="1">
        <v>1.39488</v>
      </c>
      <c r="H33" s="1">
        <v>1.00508</v>
      </c>
      <c r="I33" s="1">
        <v>0.83795</v>
      </c>
      <c r="J33" s="1">
        <v>0.46562</v>
      </c>
      <c r="K33" s="1">
        <v>0.17808</v>
      </c>
      <c r="L33" s="1">
        <v>0.1216</v>
      </c>
      <c r="M33" s="1">
        <v>2.4744</v>
      </c>
    </row>
    <row r="34">
      <c r="A34" s="1" t="s">
        <v>52</v>
      </c>
      <c r="B34" s="1" t="s">
        <v>40</v>
      </c>
      <c r="C34" s="1">
        <v>33.0</v>
      </c>
      <c r="D34" s="1">
        <v>6.474</v>
      </c>
      <c r="E34" s="1">
        <v>6.396</v>
      </c>
      <c r="F34" s="1">
        <v>6.552</v>
      </c>
      <c r="G34" s="1">
        <v>1.0893</v>
      </c>
      <c r="H34" s="1">
        <v>1.04477</v>
      </c>
      <c r="I34" s="1">
        <v>0.64915</v>
      </c>
      <c r="J34" s="1">
        <v>0.49553</v>
      </c>
      <c r="K34" s="1">
        <v>0.02833</v>
      </c>
      <c r="L34" s="1">
        <v>0.58696</v>
      </c>
      <c r="M34" s="1">
        <v>2.5796</v>
      </c>
    </row>
    <row r="35">
      <c r="A35" s="1" t="s">
        <v>53</v>
      </c>
      <c r="B35" s="1" t="s">
        <v>27</v>
      </c>
      <c r="C35" s="1">
        <v>34.0</v>
      </c>
      <c r="D35" s="1">
        <v>6.379</v>
      </c>
      <c r="E35" s="1">
        <v>6.287</v>
      </c>
      <c r="F35" s="1">
        <v>6.471</v>
      </c>
      <c r="G35" s="1">
        <v>1.48953</v>
      </c>
      <c r="H35" s="1">
        <v>0.84829</v>
      </c>
      <c r="I35" s="1">
        <v>0.59267</v>
      </c>
      <c r="J35" s="1">
        <v>0.37904</v>
      </c>
      <c r="K35" s="1">
        <v>0.30008</v>
      </c>
      <c r="L35" s="1">
        <v>0.15457</v>
      </c>
      <c r="M35" s="1">
        <v>2.61482</v>
      </c>
    </row>
    <row r="36">
      <c r="A36" s="1" t="s">
        <v>54</v>
      </c>
      <c r="B36" s="1" t="s">
        <v>55</v>
      </c>
      <c r="C36" s="1">
        <v>34.0</v>
      </c>
      <c r="D36" s="1">
        <v>6.379</v>
      </c>
      <c r="E36" s="1">
        <v>6.305</v>
      </c>
      <c r="F36" s="1">
        <v>6.453</v>
      </c>
      <c r="G36" s="1">
        <v>1.39729</v>
      </c>
      <c r="H36" s="1">
        <v>0.92624</v>
      </c>
      <c r="I36" s="1">
        <v>0.79565</v>
      </c>
      <c r="J36" s="1">
        <v>0.32377</v>
      </c>
      <c r="K36" s="1">
        <v>0.0663</v>
      </c>
      <c r="L36" s="1">
        <v>0.25495</v>
      </c>
      <c r="M36" s="1">
        <v>2.61523</v>
      </c>
    </row>
    <row r="37">
      <c r="A37" s="1" t="s">
        <v>56</v>
      </c>
      <c r="B37" s="1" t="s">
        <v>27</v>
      </c>
      <c r="C37" s="1">
        <v>36.0</v>
      </c>
      <c r="D37" s="1">
        <v>6.375</v>
      </c>
      <c r="E37" s="1">
        <v>6.178</v>
      </c>
      <c r="F37" s="1">
        <v>6.572</v>
      </c>
      <c r="G37" s="1">
        <v>1.82427</v>
      </c>
      <c r="H37" s="1">
        <v>0.87964</v>
      </c>
      <c r="I37" s="1">
        <v>0.71723</v>
      </c>
      <c r="J37" s="1">
        <v>0.56679</v>
      </c>
      <c r="K37" s="1">
        <v>0.48049</v>
      </c>
      <c r="L37" s="1">
        <v>0.32388</v>
      </c>
      <c r="M37" s="1">
        <v>1.58224</v>
      </c>
    </row>
    <row r="38">
      <c r="A38" s="1" t="s">
        <v>57</v>
      </c>
      <c r="B38" s="1" t="s">
        <v>14</v>
      </c>
      <c r="C38" s="1">
        <v>37.0</v>
      </c>
      <c r="D38" s="1">
        <v>6.361</v>
      </c>
      <c r="E38" s="1">
        <v>6.288</v>
      </c>
      <c r="F38" s="1">
        <v>6.434</v>
      </c>
      <c r="G38" s="1">
        <v>1.34253</v>
      </c>
      <c r="H38" s="1">
        <v>1.12945</v>
      </c>
      <c r="I38" s="1">
        <v>0.87896</v>
      </c>
      <c r="J38" s="1">
        <v>0.37545</v>
      </c>
      <c r="K38" s="1">
        <v>0.06137</v>
      </c>
      <c r="L38" s="1">
        <v>0.17665</v>
      </c>
      <c r="M38" s="1">
        <v>2.39663</v>
      </c>
    </row>
    <row r="39">
      <c r="A39" s="1" t="s">
        <v>58</v>
      </c>
      <c r="B39" s="1" t="s">
        <v>27</v>
      </c>
      <c r="C39" s="1">
        <v>38.0</v>
      </c>
      <c r="D39" s="1">
        <v>6.355</v>
      </c>
      <c r="E39" s="1">
        <v>6.227</v>
      </c>
      <c r="F39" s="1">
        <v>6.483</v>
      </c>
      <c r="G39" s="1">
        <v>1.05266</v>
      </c>
      <c r="H39" s="1">
        <v>0.83309</v>
      </c>
      <c r="I39" s="1">
        <v>0.61804</v>
      </c>
      <c r="J39" s="1">
        <v>0.21006</v>
      </c>
      <c r="K39" s="1">
        <v>0.16157</v>
      </c>
      <c r="L39" s="1">
        <v>0.07044</v>
      </c>
      <c r="M39" s="1">
        <v>3.40904</v>
      </c>
    </row>
    <row r="40">
      <c r="A40" s="1" t="s">
        <v>59</v>
      </c>
      <c r="B40" s="1" t="s">
        <v>31</v>
      </c>
      <c r="C40" s="1">
        <v>39.0</v>
      </c>
      <c r="D40" s="1">
        <v>6.324</v>
      </c>
      <c r="E40" s="1">
        <v>6.213</v>
      </c>
      <c r="F40" s="1">
        <v>6.435</v>
      </c>
      <c r="G40" s="1">
        <v>0.83454</v>
      </c>
      <c r="H40" s="1">
        <v>0.87119</v>
      </c>
      <c r="I40" s="1">
        <v>0.54039</v>
      </c>
      <c r="J40" s="1">
        <v>0.50379</v>
      </c>
      <c r="K40" s="1">
        <v>0.08701</v>
      </c>
      <c r="L40" s="1">
        <v>0.28808</v>
      </c>
      <c r="M40" s="1">
        <v>3.19863</v>
      </c>
    </row>
    <row r="41">
      <c r="A41" s="1" t="s">
        <v>60</v>
      </c>
      <c r="B41" s="1" t="s">
        <v>31</v>
      </c>
      <c r="C41" s="1">
        <v>40.0</v>
      </c>
      <c r="D41" s="1">
        <v>6.269</v>
      </c>
      <c r="E41" s="1">
        <v>6.073</v>
      </c>
      <c r="F41" s="1">
        <v>6.465</v>
      </c>
      <c r="G41" s="1">
        <v>1.09686</v>
      </c>
      <c r="H41" s="1">
        <v>0.77866</v>
      </c>
      <c r="I41" s="1">
        <v>0.50933</v>
      </c>
      <c r="J41" s="1">
        <v>0.52234</v>
      </c>
      <c r="K41" s="1">
        <v>0.12692</v>
      </c>
      <c r="L41" s="1">
        <v>0.16665</v>
      </c>
      <c r="M41" s="1">
        <v>3.06852</v>
      </c>
    </row>
    <row r="42">
      <c r="A42" s="1" t="s">
        <v>61</v>
      </c>
      <c r="B42" s="1" t="s">
        <v>27</v>
      </c>
      <c r="C42" s="1">
        <v>41.0</v>
      </c>
      <c r="D42" s="1">
        <v>6.239</v>
      </c>
      <c r="E42" s="1">
        <v>6.154</v>
      </c>
      <c r="F42" s="1">
        <v>6.324</v>
      </c>
      <c r="G42" s="1">
        <v>1.61714</v>
      </c>
      <c r="H42" s="1">
        <v>0.87758</v>
      </c>
      <c r="I42" s="1">
        <v>0.63569</v>
      </c>
      <c r="J42" s="1">
        <v>0.43166</v>
      </c>
      <c r="K42" s="1">
        <v>0.23669</v>
      </c>
      <c r="L42" s="1">
        <v>0.15965</v>
      </c>
      <c r="M42" s="1">
        <v>2.28085</v>
      </c>
    </row>
    <row r="43">
      <c r="A43" s="1" t="s">
        <v>62</v>
      </c>
      <c r="B43" s="1" t="s">
        <v>27</v>
      </c>
      <c r="C43" s="1">
        <v>42.0</v>
      </c>
      <c r="D43" s="1">
        <v>6.218</v>
      </c>
      <c r="E43" s="1">
        <v>6.128</v>
      </c>
      <c r="F43" s="1">
        <v>6.308</v>
      </c>
      <c r="G43" s="1">
        <v>1.44024</v>
      </c>
      <c r="H43" s="1">
        <v>0.94397</v>
      </c>
      <c r="I43" s="1">
        <v>0.65696</v>
      </c>
      <c r="J43" s="1">
        <v>0.47375</v>
      </c>
      <c r="K43" s="1">
        <v>0.25772</v>
      </c>
      <c r="L43" s="1">
        <v>0.17147</v>
      </c>
      <c r="M43" s="1">
        <v>2.27405</v>
      </c>
    </row>
    <row r="44">
      <c r="A44" s="1" t="s">
        <v>63</v>
      </c>
      <c r="B44" s="1" t="s">
        <v>31</v>
      </c>
      <c r="C44" s="1">
        <v>43.0</v>
      </c>
      <c r="D44" s="1">
        <v>6.168</v>
      </c>
      <c r="E44" s="1">
        <v>5.95</v>
      </c>
      <c r="F44" s="1">
        <v>6.386</v>
      </c>
      <c r="G44" s="1">
        <v>1.32572</v>
      </c>
      <c r="H44" s="1">
        <v>0.98569</v>
      </c>
      <c r="I44" s="1">
        <v>0.52608</v>
      </c>
      <c r="J44" s="1">
        <v>0.48453</v>
      </c>
      <c r="K44" s="1">
        <v>0.01241</v>
      </c>
      <c r="L44" s="1">
        <v>0.31935</v>
      </c>
      <c r="M44" s="1">
        <v>2.51394</v>
      </c>
    </row>
    <row r="45">
      <c r="A45" s="1" t="s">
        <v>64</v>
      </c>
      <c r="B45" s="1" t="s">
        <v>31</v>
      </c>
      <c r="C45" s="1">
        <v>44.0</v>
      </c>
      <c r="D45" s="1">
        <v>6.084</v>
      </c>
      <c r="E45" s="1">
        <v>5.973</v>
      </c>
      <c r="F45" s="1">
        <v>6.195</v>
      </c>
      <c r="G45" s="1">
        <v>1.13367</v>
      </c>
      <c r="H45" s="1">
        <v>1.03302</v>
      </c>
      <c r="I45" s="1">
        <v>0.61904</v>
      </c>
      <c r="J45" s="1">
        <v>0.19847</v>
      </c>
      <c r="K45" s="1">
        <v>0.08304</v>
      </c>
      <c r="L45" s="1">
        <v>0.0425</v>
      </c>
      <c r="M45" s="1">
        <v>2.97468</v>
      </c>
    </row>
    <row r="46">
      <c r="A46" s="1" t="s">
        <v>65</v>
      </c>
      <c r="B46" s="1" t="s">
        <v>46</v>
      </c>
      <c r="C46" s="1">
        <v>45.0</v>
      </c>
      <c r="D46" s="1">
        <v>6.078</v>
      </c>
      <c r="E46" s="1">
        <v>5.996</v>
      </c>
      <c r="F46" s="1">
        <v>6.16</v>
      </c>
      <c r="G46" s="1">
        <v>1.27973</v>
      </c>
      <c r="H46" s="1">
        <v>1.08268</v>
      </c>
      <c r="I46" s="1">
        <v>0.70367</v>
      </c>
      <c r="J46" s="1">
        <v>0.23391</v>
      </c>
      <c r="K46" s="1">
        <v>0.02947</v>
      </c>
      <c r="L46" s="1">
        <v>0.13837</v>
      </c>
      <c r="M46" s="1">
        <v>2.61065</v>
      </c>
    </row>
    <row r="47">
      <c r="A47" s="1" t="s">
        <v>66</v>
      </c>
      <c r="B47" s="1" t="s">
        <v>31</v>
      </c>
      <c r="C47" s="1">
        <v>46.0</v>
      </c>
      <c r="D47" s="1">
        <v>6.068</v>
      </c>
      <c r="E47" s="1">
        <v>5.967</v>
      </c>
      <c r="F47" s="1">
        <v>6.169</v>
      </c>
      <c r="G47" s="1">
        <v>0.8737</v>
      </c>
      <c r="H47" s="1">
        <v>0.80975</v>
      </c>
      <c r="I47" s="1">
        <v>0.596</v>
      </c>
      <c r="J47" s="1">
        <v>0.37269</v>
      </c>
      <c r="K47" s="1">
        <v>0.10613</v>
      </c>
      <c r="L47" s="1">
        <v>0.08877</v>
      </c>
      <c r="M47" s="1">
        <v>3.22134</v>
      </c>
    </row>
    <row r="48">
      <c r="A48" s="1" t="s">
        <v>67</v>
      </c>
      <c r="B48" s="1" t="s">
        <v>40</v>
      </c>
      <c r="C48" s="1">
        <v>47.0</v>
      </c>
      <c r="D48" s="1">
        <v>6.005</v>
      </c>
      <c r="E48" s="1">
        <v>5.921</v>
      </c>
      <c r="F48" s="1">
        <v>6.089</v>
      </c>
      <c r="G48" s="1">
        <v>1.25142</v>
      </c>
      <c r="H48" s="1">
        <v>0.88025</v>
      </c>
      <c r="I48" s="1">
        <v>0.62366</v>
      </c>
      <c r="J48" s="1">
        <v>0.39031</v>
      </c>
      <c r="K48" s="1">
        <v>0.09081</v>
      </c>
      <c r="L48" s="1">
        <v>0.41474</v>
      </c>
      <c r="M48" s="1">
        <v>2.35384</v>
      </c>
    </row>
    <row r="49">
      <c r="A49" s="1" t="s">
        <v>68</v>
      </c>
      <c r="B49" s="1" t="s">
        <v>31</v>
      </c>
      <c r="C49" s="1">
        <v>48.0</v>
      </c>
      <c r="D49" s="1">
        <v>5.992</v>
      </c>
      <c r="E49" s="1">
        <v>5.877</v>
      </c>
      <c r="F49" s="1">
        <v>6.107</v>
      </c>
      <c r="G49" s="1">
        <v>0.69384</v>
      </c>
      <c r="H49" s="1">
        <v>0.89521</v>
      </c>
      <c r="I49" s="1">
        <v>0.65213</v>
      </c>
      <c r="J49" s="1">
        <v>0.46582</v>
      </c>
      <c r="K49" s="1">
        <v>0.16292</v>
      </c>
      <c r="L49" s="1">
        <v>0.29773</v>
      </c>
      <c r="M49" s="1">
        <v>2.82428</v>
      </c>
    </row>
    <row r="50">
      <c r="A50" s="1" t="s">
        <v>69</v>
      </c>
      <c r="B50" s="1" t="s">
        <v>46</v>
      </c>
      <c r="C50" s="1">
        <v>49.0</v>
      </c>
      <c r="D50" s="1">
        <v>5.987</v>
      </c>
      <c r="E50" s="1">
        <v>5.896</v>
      </c>
      <c r="F50" s="1">
        <v>6.078</v>
      </c>
      <c r="G50" s="1">
        <v>0.73591</v>
      </c>
      <c r="H50" s="1">
        <v>1.1681</v>
      </c>
      <c r="I50" s="1">
        <v>0.50163</v>
      </c>
      <c r="J50" s="1">
        <v>0.60848</v>
      </c>
      <c r="K50" s="1">
        <v>0.28333</v>
      </c>
      <c r="L50" s="1">
        <v>0.34326</v>
      </c>
      <c r="M50" s="1">
        <v>2.34638</v>
      </c>
    </row>
    <row r="51">
      <c r="A51" s="1" t="s">
        <v>70</v>
      </c>
      <c r="B51" s="1" t="s">
        <v>14</v>
      </c>
      <c r="C51" s="1">
        <v>50.0</v>
      </c>
      <c r="D51" s="1">
        <v>5.977</v>
      </c>
      <c r="E51" s="1">
        <v>5.898</v>
      </c>
      <c r="F51" s="1">
        <v>6.056</v>
      </c>
      <c r="G51" s="1">
        <v>1.35495</v>
      </c>
      <c r="H51" s="1">
        <v>1.04167</v>
      </c>
      <c r="I51" s="1">
        <v>0.85102</v>
      </c>
      <c r="J51" s="1">
        <v>0.18827</v>
      </c>
      <c r="K51" s="1">
        <v>0.02556</v>
      </c>
      <c r="L51" s="1">
        <v>0.16684</v>
      </c>
      <c r="M51" s="1">
        <v>2.34918</v>
      </c>
    </row>
    <row r="52">
      <c r="A52" s="1" t="s">
        <v>71</v>
      </c>
      <c r="B52" s="1" t="s">
        <v>31</v>
      </c>
      <c r="C52" s="1">
        <v>51.0</v>
      </c>
      <c r="D52" s="1">
        <v>5.976</v>
      </c>
      <c r="E52" s="1">
        <v>5.88</v>
      </c>
      <c r="F52" s="1">
        <v>6.072</v>
      </c>
      <c r="G52" s="1">
        <v>0.97306</v>
      </c>
      <c r="H52" s="1">
        <v>0.85974</v>
      </c>
      <c r="I52" s="1">
        <v>0.68613</v>
      </c>
      <c r="J52" s="1">
        <v>0.4027</v>
      </c>
      <c r="K52" s="1">
        <v>0.18037</v>
      </c>
      <c r="L52" s="1">
        <v>0.10074</v>
      </c>
      <c r="M52" s="1">
        <v>2.77366</v>
      </c>
    </row>
    <row r="53">
      <c r="A53" s="1" t="s">
        <v>72</v>
      </c>
      <c r="B53" s="1" t="s">
        <v>31</v>
      </c>
      <c r="C53" s="1">
        <v>52.0</v>
      </c>
      <c r="D53" s="1">
        <v>5.956</v>
      </c>
      <c r="E53" s="1">
        <v>5.71</v>
      </c>
      <c r="F53" s="1">
        <v>6.202</v>
      </c>
      <c r="G53" s="1">
        <v>0.87616</v>
      </c>
      <c r="H53" s="1">
        <v>0.68655</v>
      </c>
      <c r="I53" s="1">
        <v>0.45569</v>
      </c>
      <c r="J53" s="1">
        <v>0.51231</v>
      </c>
      <c r="K53" s="1">
        <v>0.10771</v>
      </c>
      <c r="L53" s="1">
        <v>0.23684</v>
      </c>
      <c r="M53" s="1">
        <v>3.08039</v>
      </c>
    </row>
    <row r="54">
      <c r="A54" s="1" t="s">
        <v>73</v>
      </c>
      <c r="B54" s="1" t="s">
        <v>55</v>
      </c>
      <c r="C54" s="1">
        <v>53.0</v>
      </c>
      <c r="D54" s="1">
        <v>5.921</v>
      </c>
      <c r="E54" s="1">
        <v>5.85</v>
      </c>
      <c r="F54" s="1">
        <v>5.992</v>
      </c>
      <c r="G54" s="1">
        <v>1.38007</v>
      </c>
      <c r="H54" s="1">
        <v>1.06054</v>
      </c>
      <c r="I54" s="1">
        <v>0.91491</v>
      </c>
      <c r="J54" s="1">
        <v>0.46761</v>
      </c>
      <c r="K54" s="1">
        <v>0.18985</v>
      </c>
      <c r="L54" s="1">
        <v>0.10224</v>
      </c>
      <c r="M54" s="1">
        <v>1.80584</v>
      </c>
    </row>
    <row r="55">
      <c r="A55" s="1" t="s">
        <v>74</v>
      </c>
      <c r="B55" s="1" t="s">
        <v>46</v>
      </c>
      <c r="C55" s="1">
        <v>54.0</v>
      </c>
      <c r="D55" s="1">
        <v>5.919</v>
      </c>
      <c r="E55" s="1">
        <v>5.837</v>
      </c>
      <c r="F55" s="1">
        <v>6.001</v>
      </c>
      <c r="G55" s="1">
        <v>1.22943</v>
      </c>
      <c r="H55" s="1">
        <v>0.95544</v>
      </c>
      <c r="I55" s="1">
        <v>0.57386</v>
      </c>
      <c r="J55" s="1">
        <v>0.4052</v>
      </c>
      <c r="K55" s="1">
        <v>0.11132</v>
      </c>
      <c r="L55" s="1">
        <v>0.15011</v>
      </c>
      <c r="M55" s="1">
        <v>2.49325</v>
      </c>
    </row>
    <row r="56">
      <c r="A56" s="1" t="s">
        <v>75</v>
      </c>
      <c r="B56" s="1" t="s">
        <v>46</v>
      </c>
      <c r="C56" s="1">
        <v>55.0</v>
      </c>
      <c r="D56" s="1">
        <v>5.897</v>
      </c>
      <c r="E56" s="1">
        <v>5.823</v>
      </c>
      <c r="F56" s="1">
        <v>5.971</v>
      </c>
      <c r="G56" s="1">
        <v>0.69177</v>
      </c>
      <c r="H56" s="1">
        <v>0.83132</v>
      </c>
      <c r="I56" s="1">
        <v>0.52309</v>
      </c>
      <c r="J56" s="1">
        <v>0.25202</v>
      </c>
      <c r="K56" s="1">
        <v>0.01903</v>
      </c>
      <c r="L56" s="1">
        <v>0.19997</v>
      </c>
      <c r="M56" s="1">
        <v>3.38007</v>
      </c>
    </row>
    <row r="57">
      <c r="A57" s="1" t="s">
        <v>76</v>
      </c>
      <c r="B57" s="1" t="s">
        <v>46</v>
      </c>
      <c r="C57" s="1">
        <v>56.0</v>
      </c>
      <c r="D57" s="1">
        <v>5.856</v>
      </c>
      <c r="E57" s="1">
        <v>5.789</v>
      </c>
      <c r="F57" s="1">
        <v>5.923</v>
      </c>
      <c r="G57" s="1">
        <v>1.23228</v>
      </c>
      <c r="H57" s="1">
        <v>1.05261</v>
      </c>
      <c r="I57" s="1">
        <v>0.58991</v>
      </c>
      <c r="J57" s="1">
        <v>0.32682</v>
      </c>
      <c r="K57" s="1">
        <v>0.03586</v>
      </c>
      <c r="L57" s="1">
        <v>0.02736</v>
      </c>
      <c r="M57" s="1">
        <v>2.59115</v>
      </c>
    </row>
    <row r="58">
      <c r="A58" s="1" t="s">
        <v>77</v>
      </c>
      <c r="B58" s="1" t="s">
        <v>46</v>
      </c>
      <c r="C58" s="1">
        <v>57.0</v>
      </c>
      <c r="D58" s="1">
        <v>5.835</v>
      </c>
      <c r="E58" s="1">
        <v>5.749</v>
      </c>
      <c r="F58" s="1">
        <v>5.921</v>
      </c>
      <c r="G58" s="1">
        <v>1.24585</v>
      </c>
      <c r="H58" s="1">
        <v>1.04685</v>
      </c>
      <c r="I58" s="1">
        <v>0.69058</v>
      </c>
      <c r="J58" s="1">
        <v>0.4519</v>
      </c>
      <c r="K58" s="1">
        <v>0.055</v>
      </c>
      <c r="L58" s="1">
        <v>0.14443</v>
      </c>
      <c r="M58" s="1">
        <v>2.20035</v>
      </c>
    </row>
    <row r="59">
      <c r="A59" s="1" t="s">
        <v>78</v>
      </c>
      <c r="B59" s="1" t="s">
        <v>55</v>
      </c>
      <c r="C59" s="1">
        <v>57.0</v>
      </c>
      <c r="D59" s="1">
        <v>5.835</v>
      </c>
      <c r="E59" s="1">
        <v>5.747</v>
      </c>
      <c r="F59" s="1">
        <v>5.923</v>
      </c>
      <c r="G59" s="1">
        <v>1.35948</v>
      </c>
      <c r="H59" s="1">
        <v>0.72194</v>
      </c>
      <c r="I59" s="1">
        <v>0.88645</v>
      </c>
      <c r="J59" s="1">
        <v>0.25168</v>
      </c>
      <c r="K59" s="1">
        <v>0.07716</v>
      </c>
      <c r="L59" s="1">
        <v>0.18824</v>
      </c>
      <c r="M59" s="1">
        <v>2.35015</v>
      </c>
    </row>
    <row r="60">
      <c r="A60" s="1" t="s">
        <v>79</v>
      </c>
      <c r="B60" s="1" t="s">
        <v>31</v>
      </c>
      <c r="C60" s="1">
        <v>59.0</v>
      </c>
      <c r="D60" s="1">
        <v>5.822</v>
      </c>
      <c r="E60" s="1">
        <v>5.74</v>
      </c>
      <c r="F60" s="1">
        <v>5.904</v>
      </c>
      <c r="G60" s="1">
        <v>0.79422</v>
      </c>
      <c r="H60" s="1">
        <v>0.83779</v>
      </c>
      <c r="I60" s="1">
        <v>0.4697</v>
      </c>
      <c r="J60" s="1">
        <v>0.50961</v>
      </c>
      <c r="K60" s="1">
        <v>0.07746</v>
      </c>
      <c r="L60" s="1">
        <v>0.21698</v>
      </c>
      <c r="M60" s="1">
        <v>2.91635</v>
      </c>
    </row>
    <row r="61">
      <c r="A61" s="1" t="s">
        <v>80</v>
      </c>
      <c r="B61" s="1" t="s">
        <v>46</v>
      </c>
      <c r="C61" s="1">
        <v>60.0</v>
      </c>
      <c r="D61" s="1">
        <v>5.813</v>
      </c>
      <c r="E61" s="1">
        <v>5.734</v>
      </c>
      <c r="F61" s="1">
        <v>5.892</v>
      </c>
      <c r="G61" s="1">
        <v>1.2692</v>
      </c>
      <c r="H61" s="1">
        <v>1.06411</v>
      </c>
      <c r="I61" s="1">
        <v>0.64674</v>
      </c>
      <c r="J61" s="1">
        <v>0.18929</v>
      </c>
      <c r="K61" s="1">
        <v>0.0182</v>
      </c>
      <c r="L61" s="1">
        <v>0.02025</v>
      </c>
      <c r="M61" s="1">
        <v>2.60525</v>
      </c>
    </row>
    <row r="62">
      <c r="A62" s="1" t="s">
        <v>81</v>
      </c>
      <c r="B62" s="1" t="s">
        <v>46</v>
      </c>
      <c r="C62" s="1">
        <v>61.0</v>
      </c>
      <c r="D62" s="1">
        <v>5.802</v>
      </c>
      <c r="E62" s="1">
        <v>5.723</v>
      </c>
      <c r="F62" s="1">
        <v>5.881</v>
      </c>
      <c r="G62" s="1">
        <v>1.13062</v>
      </c>
      <c r="H62" s="1">
        <v>1.04993</v>
      </c>
      <c r="I62" s="1">
        <v>0.63104</v>
      </c>
      <c r="J62" s="1">
        <v>0.29091</v>
      </c>
      <c r="K62" s="1">
        <v>0.17457</v>
      </c>
      <c r="L62" s="1">
        <v>0.13942</v>
      </c>
      <c r="M62" s="1">
        <v>2.38582</v>
      </c>
    </row>
    <row r="63">
      <c r="A63" s="1" t="s">
        <v>82</v>
      </c>
      <c r="B63" s="1" t="s">
        <v>14</v>
      </c>
      <c r="C63" s="1">
        <v>62.0</v>
      </c>
      <c r="D63" s="1">
        <v>5.771</v>
      </c>
      <c r="E63" s="1">
        <v>5.67</v>
      </c>
      <c r="F63" s="1">
        <v>5.872</v>
      </c>
      <c r="G63" s="1">
        <v>1.31141</v>
      </c>
      <c r="H63" s="1">
        <v>0.81826</v>
      </c>
      <c r="I63" s="1">
        <v>0.84142</v>
      </c>
      <c r="J63" s="1">
        <v>0.43596</v>
      </c>
      <c r="K63" s="1">
        <v>0.16578</v>
      </c>
      <c r="L63" s="1">
        <v>0.26322</v>
      </c>
      <c r="M63" s="1">
        <v>1.93447</v>
      </c>
    </row>
    <row r="64">
      <c r="A64" s="1" t="s">
        <v>83</v>
      </c>
      <c r="B64" s="1" t="s">
        <v>46</v>
      </c>
      <c r="C64" s="1">
        <v>63.0</v>
      </c>
      <c r="D64" s="1">
        <v>5.768</v>
      </c>
      <c r="E64" s="1">
        <v>5.683</v>
      </c>
      <c r="F64" s="1">
        <v>5.853</v>
      </c>
      <c r="G64" s="1">
        <v>1.29947</v>
      </c>
      <c r="H64" s="1">
        <v>1.05613</v>
      </c>
      <c r="I64" s="1">
        <v>0.79151</v>
      </c>
      <c r="J64" s="1">
        <v>0.53164</v>
      </c>
      <c r="K64" s="1">
        <v>0.03635</v>
      </c>
      <c r="L64" s="1">
        <v>0.25738</v>
      </c>
      <c r="M64" s="1">
        <v>1.79522</v>
      </c>
    </row>
    <row r="65">
      <c r="A65" s="1" t="s">
        <v>84</v>
      </c>
      <c r="B65" s="1" t="s">
        <v>31</v>
      </c>
      <c r="C65" s="1">
        <v>64.0</v>
      </c>
      <c r="D65" s="1">
        <v>5.743</v>
      </c>
      <c r="E65" s="1">
        <v>5.647</v>
      </c>
      <c r="F65" s="1">
        <v>5.839</v>
      </c>
      <c r="G65" s="1">
        <v>0.99602</v>
      </c>
      <c r="H65" s="1">
        <v>0.81255</v>
      </c>
      <c r="I65" s="1">
        <v>0.62994</v>
      </c>
      <c r="J65" s="1">
        <v>0.37502</v>
      </c>
      <c r="K65" s="1">
        <v>0.05292</v>
      </c>
      <c r="L65" s="1">
        <v>0.14527</v>
      </c>
      <c r="M65" s="1">
        <v>2.73117</v>
      </c>
    </row>
    <row r="66">
      <c r="A66" s="1" t="s">
        <v>85</v>
      </c>
      <c r="B66" s="1" t="s">
        <v>46</v>
      </c>
      <c r="C66" s="1">
        <v>65.0</v>
      </c>
      <c r="D66" s="1">
        <v>5.658</v>
      </c>
      <c r="E66" s="1">
        <v>5.58</v>
      </c>
      <c r="F66" s="1">
        <v>5.736</v>
      </c>
      <c r="G66" s="1">
        <v>1.08017</v>
      </c>
      <c r="H66" s="1">
        <v>1.03817</v>
      </c>
      <c r="I66" s="1">
        <v>0.44006</v>
      </c>
      <c r="J66" s="1">
        <v>0.37408</v>
      </c>
      <c r="K66" s="1">
        <v>0.28467</v>
      </c>
      <c r="L66" s="1">
        <v>0.22567</v>
      </c>
      <c r="M66" s="1">
        <v>2.21489</v>
      </c>
    </row>
    <row r="67">
      <c r="A67" s="1" t="s">
        <v>86</v>
      </c>
      <c r="B67" s="1" t="s">
        <v>87</v>
      </c>
      <c r="C67" s="1">
        <v>66.0</v>
      </c>
      <c r="D67" s="1">
        <v>5.648</v>
      </c>
      <c r="E67" s="1">
        <v>5.507</v>
      </c>
      <c r="F67" s="1">
        <v>5.789</v>
      </c>
      <c r="G67" s="1">
        <v>1.14372</v>
      </c>
      <c r="H67" s="1">
        <v>0.75695</v>
      </c>
      <c r="I67" s="1">
        <v>0.66189</v>
      </c>
      <c r="J67" s="1">
        <v>0.46145</v>
      </c>
      <c r="K67" s="1">
        <v>0.05203</v>
      </c>
      <c r="L67" s="1">
        <v>0.36951</v>
      </c>
      <c r="M67" s="1">
        <v>2.20223</v>
      </c>
    </row>
    <row r="68">
      <c r="A68" s="1" t="s">
        <v>88</v>
      </c>
      <c r="B68" s="1" t="s">
        <v>27</v>
      </c>
      <c r="C68" s="1">
        <v>67.0</v>
      </c>
      <c r="D68" s="1">
        <v>5.615</v>
      </c>
      <c r="E68" s="1">
        <v>5.406</v>
      </c>
      <c r="F68" s="1">
        <v>5.824</v>
      </c>
      <c r="G68" s="1">
        <v>1.06688</v>
      </c>
      <c r="H68" s="1">
        <v>0.95076</v>
      </c>
      <c r="I68" s="1">
        <v>0.52304</v>
      </c>
      <c r="J68" s="1">
        <v>0.40672</v>
      </c>
      <c r="K68" s="1">
        <v>0.10339</v>
      </c>
      <c r="L68" s="1">
        <v>0.17087</v>
      </c>
      <c r="M68" s="1">
        <v>2.39374</v>
      </c>
    </row>
    <row r="69">
      <c r="A69" s="1" t="s">
        <v>89</v>
      </c>
      <c r="B69" s="1" t="s">
        <v>46</v>
      </c>
      <c r="C69" s="1">
        <v>68.0</v>
      </c>
      <c r="D69" s="1">
        <v>5.56</v>
      </c>
      <c r="E69" s="1">
        <v>5.486</v>
      </c>
      <c r="F69" s="1">
        <v>5.634</v>
      </c>
      <c r="G69" s="1">
        <v>1.21788</v>
      </c>
      <c r="H69" s="1">
        <v>0.95025</v>
      </c>
      <c r="I69" s="1">
        <v>0.63952</v>
      </c>
      <c r="J69" s="1">
        <v>0.27996</v>
      </c>
      <c r="K69" s="1">
        <v>0.0889</v>
      </c>
      <c r="L69" s="1">
        <v>0.17445</v>
      </c>
      <c r="M69" s="1">
        <v>2.20859</v>
      </c>
    </row>
    <row r="70">
      <c r="A70" s="1" t="s">
        <v>90</v>
      </c>
      <c r="B70" s="1" t="s">
        <v>14</v>
      </c>
      <c r="C70" s="1">
        <v>69.0</v>
      </c>
      <c r="D70" s="1">
        <v>5.546</v>
      </c>
      <c r="E70" s="1">
        <v>5.442</v>
      </c>
      <c r="F70" s="1">
        <v>5.65</v>
      </c>
      <c r="G70" s="1">
        <v>1.31857</v>
      </c>
      <c r="H70" s="1">
        <v>0.70697</v>
      </c>
      <c r="I70" s="1">
        <v>0.8488</v>
      </c>
      <c r="J70" s="1">
        <v>0.29507</v>
      </c>
      <c r="K70" s="1">
        <v>0.05228</v>
      </c>
      <c r="L70" s="1">
        <v>0.27906</v>
      </c>
      <c r="M70" s="1">
        <v>2.04497</v>
      </c>
    </row>
    <row r="71">
      <c r="A71" s="1" t="s">
        <v>91</v>
      </c>
      <c r="B71" s="1" t="s">
        <v>31</v>
      </c>
      <c r="C71" s="1">
        <v>70.0</v>
      </c>
      <c r="D71" s="1">
        <v>5.538</v>
      </c>
      <c r="E71" s="1">
        <v>5.453</v>
      </c>
      <c r="F71" s="1">
        <v>5.623</v>
      </c>
      <c r="G71" s="1">
        <v>0.89373</v>
      </c>
      <c r="H71" s="1">
        <v>1.11111</v>
      </c>
      <c r="I71" s="1">
        <v>0.58295</v>
      </c>
      <c r="J71" s="1">
        <v>0.46235</v>
      </c>
      <c r="K71" s="1">
        <v>0.07396</v>
      </c>
      <c r="L71" s="1">
        <v>0.25296</v>
      </c>
      <c r="M71" s="1">
        <v>2.16091</v>
      </c>
    </row>
    <row r="72">
      <c r="A72" s="1" t="s">
        <v>92</v>
      </c>
      <c r="B72" s="1" t="s">
        <v>46</v>
      </c>
      <c r="C72" s="1">
        <v>71.0</v>
      </c>
      <c r="D72" s="1">
        <v>5.528</v>
      </c>
      <c r="E72" s="1">
        <v>5.427</v>
      </c>
      <c r="F72" s="1">
        <v>5.629</v>
      </c>
      <c r="G72" s="1">
        <v>1.1697</v>
      </c>
      <c r="H72" s="1">
        <v>0.72803</v>
      </c>
      <c r="I72" s="1">
        <v>0.67602</v>
      </c>
      <c r="J72" s="1">
        <v>0.36712</v>
      </c>
      <c r="K72" s="1">
        <v>0.00679</v>
      </c>
      <c r="L72" s="1">
        <v>0.12889</v>
      </c>
      <c r="M72" s="1">
        <v>2.45184</v>
      </c>
    </row>
    <row r="73">
      <c r="A73" s="1" t="s">
        <v>93</v>
      </c>
      <c r="B73" s="1" t="s">
        <v>46</v>
      </c>
      <c r="C73" s="1">
        <v>72.0</v>
      </c>
      <c r="D73" s="1">
        <v>5.517</v>
      </c>
      <c r="E73" s="1">
        <v>5.437</v>
      </c>
      <c r="F73" s="1">
        <v>5.597</v>
      </c>
      <c r="G73" s="1">
        <v>1.27964</v>
      </c>
      <c r="H73" s="1">
        <v>1.05163</v>
      </c>
      <c r="I73" s="1">
        <v>0.68098</v>
      </c>
      <c r="J73" s="1">
        <v>0.41511</v>
      </c>
      <c r="K73" s="1">
        <v>0.18519</v>
      </c>
      <c r="L73" s="1">
        <v>0.08423</v>
      </c>
      <c r="M73" s="1">
        <v>1.81985</v>
      </c>
    </row>
    <row r="74">
      <c r="A74" s="1" t="s">
        <v>94</v>
      </c>
      <c r="B74" s="1" t="s">
        <v>31</v>
      </c>
      <c r="C74" s="1">
        <v>73.0</v>
      </c>
      <c r="D74" s="1">
        <v>5.51</v>
      </c>
      <c r="E74" s="1">
        <v>5.315</v>
      </c>
      <c r="F74" s="1">
        <v>5.705</v>
      </c>
      <c r="G74" s="1">
        <v>0.89333</v>
      </c>
      <c r="H74" s="1">
        <v>0.96372</v>
      </c>
      <c r="I74" s="1">
        <v>0.59469</v>
      </c>
      <c r="J74" s="1">
        <v>0.43597</v>
      </c>
      <c r="K74" s="1">
        <v>0.04294</v>
      </c>
      <c r="L74" s="1">
        <v>0.22245</v>
      </c>
      <c r="M74" s="1">
        <v>2.35682</v>
      </c>
    </row>
    <row r="75">
      <c r="A75" s="1" t="s">
        <v>95</v>
      </c>
      <c r="B75" s="1" t="s">
        <v>46</v>
      </c>
      <c r="C75" s="1">
        <v>74.0</v>
      </c>
      <c r="D75" s="1">
        <v>5.488</v>
      </c>
      <c r="E75" s="1">
        <v>5.402</v>
      </c>
      <c r="F75" s="1">
        <v>5.574</v>
      </c>
      <c r="G75" s="1">
        <v>1.18649</v>
      </c>
      <c r="H75" s="1">
        <v>0.60809</v>
      </c>
      <c r="I75" s="1">
        <v>0.70524</v>
      </c>
      <c r="J75" s="1">
        <v>0.23907</v>
      </c>
      <c r="K75" s="1">
        <v>0.04002</v>
      </c>
      <c r="L75" s="1">
        <v>0.18434</v>
      </c>
      <c r="M75" s="1">
        <v>2.52462</v>
      </c>
    </row>
    <row r="76">
      <c r="A76" s="1" t="s">
        <v>96</v>
      </c>
      <c r="B76" s="1" t="s">
        <v>55</v>
      </c>
      <c r="C76" s="1">
        <v>75.0</v>
      </c>
      <c r="D76" s="1">
        <v>5.458</v>
      </c>
      <c r="E76" s="1">
        <v>5.362</v>
      </c>
      <c r="F76" s="1">
        <v>5.554</v>
      </c>
      <c r="G76" s="1">
        <v>1.5107</v>
      </c>
      <c r="H76" s="1">
        <v>0.87021</v>
      </c>
      <c r="I76" s="1">
        <v>0.95277</v>
      </c>
      <c r="J76" s="1">
        <v>0.48079</v>
      </c>
      <c r="K76" s="1">
        <v>0.31647</v>
      </c>
      <c r="L76" s="1">
        <v>0.40097</v>
      </c>
      <c r="M76" s="1">
        <v>0.92614</v>
      </c>
    </row>
    <row r="77">
      <c r="A77" s="1" t="s">
        <v>97</v>
      </c>
      <c r="B77" s="1" t="s">
        <v>87</v>
      </c>
      <c r="C77" s="1">
        <v>76.0</v>
      </c>
      <c r="D77" s="1">
        <v>5.44</v>
      </c>
      <c r="E77" s="1">
        <v>5.321</v>
      </c>
      <c r="F77" s="1">
        <v>5.559</v>
      </c>
      <c r="G77" s="1">
        <v>0.0</v>
      </c>
      <c r="H77" s="1">
        <v>0.33613</v>
      </c>
      <c r="I77" s="1">
        <v>0.11466</v>
      </c>
      <c r="J77" s="1">
        <v>0.56778</v>
      </c>
      <c r="K77" s="1">
        <v>0.3118</v>
      </c>
      <c r="L77" s="1">
        <v>0.27225</v>
      </c>
      <c r="M77" s="1">
        <v>3.83772</v>
      </c>
    </row>
    <row r="78">
      <c r="A78" s="1" t="s">
        <v>98</v>
      </c>
      <c r="B78" s="1" t="s">
        <v>46</v>
      </c>
      <c r="C78" s="1">
        <v>77.0</v>
      </c>
      <c r="D78" s="1">
        <v>5.401</v>
      </c>
      <c r="E78" s="1">
        <v>5.308</v>
      </c>
      <c r="F78" s="1">
        <v>5.494</v>
      </c>
      <c r="G78" s="1">
        <v>0.90145</v>
      </c>
      <c r="H78" s="1">
        <v>0.66062</v>
      </c>
      <c r="I78" s="1">
        <v>0.54</v>
      </c>
      <c r="J78" s="1">
        <v>0.14396</v>
      </c>
      <c r="K78" s="1">
        <v>0.06547</v>
      </c>
      <c r="L78" s="1">
        <v>0.27992</v>
      </c>
      <c r="M78" s="1">
        <v>2.80998</v>
      </c>
    </row>
    <row r="79">
      <c r="A79" s="1" t="s">
        <v>99</v>
      </c>
      <c r="B79" s="1" t="s">
        <v>27</v>
      </c>
      <c r="C79" s="1">
        <v>78.0</v>
      </c>
      <c r="D79" s="1">
        <v>5.389</v>
      </c>
      <c r="E79" s="1">
        <v>5.295</v>
      </c>
      <c r="F79" s="1">
        <v>5.483</v>
      </c>
      <c r="G79" s="1">
        <v>1.16492</v>
      </c>
      <c r="H79" s="1">
        <v>0.87717</v>
      </c>
      <c r="I79" s="1">
        <v>0.64718</v>
      </c>
      <c r="J79" s="1">
        <v>0.23889</v>
      </c>
      <c r="K79" s="1">
        <v>0.12348</v>
      </c>
      <c r="L79" s="1">
        <v>0.04707</v>
      </c>
      <c r="M79" s="1">
        <v>2.29074</v>
      </c>
    </row>
    <row r="80">
      <c r="A80" s="1" t="s">
        <v>100</v>
      </c>
      <c r="B80" s="1" t="s">
        <v>40</v>
      </c>
      <c r="C80" s="1">
        <v>79.0</v>
      </c>
      <c r="D80" s="1">
        <v>5.314</v>
      </c>
      <c r="E80" s="1">
        <v>5.237</v>
      </c>
      <c r="F80" s="1">
        <v>5.391</v>
      </c>
      <c r="G80" s="1">
        <v>0.95104</v>
      </c>
      <c r="H80" s="1">
        <v>0.87625</v>
      </c>
      <c r="I80" s="1">
        <v>0.49374</v>
      </c>
      <c r="J80" s="1">
        <v>0.39237</v>
      </c>
      <c r="K80" s="1">
        <v>0.00322</v>
      </c>
      <c r="L80" s="1">
        <v>0.56521</v>
      </c>
      <c r="M80" s="1">
        <v>2.03171</v>
      </c>
    </row>
    <row r="81">
      <c r="A81" s="1" t="s">
        <v>101</v>
      </c>
      <c r="B81" s="1" t="s">
        <v>27</v>
      </c>
      <c r="C81" s="1">
        <v>80.0</v>
      </c>
      <c r="D81" s="1">
        <v>5.303</v>
      </c>
      <c r="E81" s="1">
        <v>5.187</v>
      </c>
      <c r="F81" s="1">
        <v>5.419</v>
      </c>
      <c r="G81" s="1">
        <v>0.99673</v>
      </c>
      <c r="H81" s="1">
        <v>0.86216</v>
      </c>
      <c r="I81" s="1">
        <v>0.60712</v>
      </c>
      <c r="J81" s="1">
        <v>0.36023</v>
      </c>
      <c r="K81" s="1">
        <v>0.13297</v>
      </c>
      <c r="L81" s="1">
        <v>0.14262</v>
      </c>
      <c r="M81" s="1">
        <v>2.20142</v>
      </c>
    </row>
    <row r="82">
      <c r="A82" s="1" t="s">
        <v>102</v>
      </c>
      <c r="B82" s="1" t="s">
        <v>46</v>
      </c>
      <c r="C82" s="1">
        <v>81.0</v>
      </c>
      <c r="D82" s="1">
        <v>5.291</v>
      </c>
      <c r="E82" s="1">
        <v>5.226</v>
      </c>
      <c r="F82" s="1">
        <v>5.356</v>
      </c>
      <c r="G82" s="1">
        <v>1.12373</v>
      </c>
      <c r="H82" s="1">
        <v>0.76042</v>
      </c>
      <c r="I82" s="1">
        <v>0.54504</v>
      </c>
      <c r="J82" s="1">
        <v>0.35327</v>
      </c>
      <c r="K82" s="1">
        <v>0.17914</v>
      </c>
      <c r="L82" s="1">
        <v>0.0564</v>
      </c>
      <c r="M82" s="1">
        <v>2.2735</v>
      </c>
    </row>
    <row r="83">
      <c r="A83" s="1" t="s">
        <v>103</v>
      </c>
      <c r="B83" s="1" t="s">
        <v>40</v>
      </c>
      <c r="C83" s="1">
        <v>82.0</v>
      </c>
      <c r="D83" s="1">
        <v>5.279</v>
      </c>
      <c r="E83" s="1">
        <v>5.16</v>
      </c>
      <c r="F83" s="1">
        <v>5.398</v>
      </c>
      <c r="G83" s="1">
        <v>0.81217</v>
      </c>
      <c r="H83" s="1">
        <v>0.87877</v>
      </c>
      <c r="I83" s="1">
        <v>0.47036</v>
      </c>
      <c r="J83" s="1">
        <v>0.54854</v>
      </c>
      <c r="K83" s="1">
        <v>0.11757</v>
      </c>
      <c r="L83" s="1">
        <v>0.21674</v>
      </c>
      <c r="M83" s="1">
        <v>2.23484</v>
      </c>
    </row>
    <row r="84">
      <c r="A84" s="1" t="s">
        <v>104</v>
      </c>
      <c r="B84" s="1" t="s">
        <v>55</v>
      </c>
      <c r="C84" s="1">
        <v>83.0</v>
      </c>
      <c r="D84" s="1">
        <v>5.245</v>
      </c>
      <c r="E84" s="1">
        <v>5.199</v>
      </c>
      <c r="F84" s="1">
        <v>5.291</v>
      </c>
      <c r="G84" s="1">
        <v>1.0278</v>
      </c>
      <c r="H84" s="1">
        <v>0.79381</v>
      </c>
      <c r="I84" s="1">
        <v>0.73561</v>
      </c>
      <c r="J84" s="1">
        <v>0.44012</v>
      </c>
      <c r="K84" s="1">
        <v>0.02745</v>
      </c>
      <c r="L84" s="1">
        <v>0.04959</v>
      </c>
      <c r="M84" s="1">
        <v>2.17087</v>
      </c>
    </row>
    <row r="85">
      <c r="A85" s="1" t="s">
        <v>105</v>
      </c>
      <c r="B85" s="1" t="s">
        <v>106</v>
      </c>
      <c r="C85" s="1">
        <v>84.0</v>
      </c>
      <c r="D85" s="1">
        <v>5.196</v>
      </c>
      <c r="E85" s="1">
        <v>5.138</v>
      </c>
      <c r="F85" s="1">
        <v>5.254</v>
      </c>
      <c r="G85" s="1">
        <v>0.8527</v>
      </c>
      <c r="H85" s="1">
        <v>0.90836</v>
      </c>
      <c r="I85" s="1">
        <v>0.49759</v>
      </c>
      <c r="J85" s="1">
        <v>0.46074</v>
      </c>
      <c r="K85" s="1">
        <v>0.1616</v>
      </c>
      <c r="L85" s="1">
        <v>0.48546</v>
      </c>
      <c r="M85" s="1">
        <v>1.82916</v>
      </c>
    </row>
    <row r="86">
      <c r="A86" s="1" t="s">
        <v>107</v>
      </c>
      <c r="B86" s="1" t="s">
        <v>46</v>
      </c>
      <c r="C86" s="1">
        <v>85.0</v>
      </c>
      <c r="D86" s="1">
        <v>5.185</v>
      </c>
      <c r="E86" s="1">
        <v>5.103</v>
      </c>
      <c r="F86" s="1">
        <v>5.267</v>
      </c>
      <c r="G86" s="1">
        <v>0.56044</v>
      </c>
      <c r="H86" s="1">
        <v>0.95434</v>
      </c>
      <c r="I86" s="1">
        <v>0.55449</v>
      </c>
      <c r="J86" s="1">
        <v>0.40212</v>
      </c>
      <c r="K86" s="1">
        <v>0.04762</v>
      </c>
      <c r="L86" s="1">
        <v>0.38432</v>
      </c>
      <c r="M86" s="1">
        <v>2.28136</v>
      </c>
    </row>
    <row r="87">
      <c r="A87" s="1" t="s">
        <v>108</v>
      </c>
      <c r="B87" s="1" t="s">
        <v>46</v>
      </c>
      <c r="C87" s="1">
        <v>86.0</v>
      </c>
      <c r="D87" s="1">
        <v>5.177</v>
      </c>
      <c r="E87" s="1">
        <v>5.083</v>
      </c>
      <c r="F87" s="1">
        <v>5.271</v>
      </c>
      <c r="G87" s="1">
        <v>1.03437</v>
      </c>
      <c r="H87" s="1">
        <v>0.81329</v>
      </c>
      <c r="I87" s="1">
        <v>0.6458</v>
      </c>
      <c r="J87" s="1">
        <v>0.15718</v>
      </c>
      <c r="K87" s="1">
        <v>0.04339</v>
      </c>
      <c r="L87" s="1">
        <v>0.20737</v>
      </c>
      <c r="M87" s="1">
        <v>2.27539</v>
      </c>
    </row>
    <row r="88">
      <c r="A88" s="1" t="s">
        <v>109</v>
      </c>
      <c r="B88" s="1" t="s">
        <v>46</v>
      </c>
      <c r="C88" s="1">
        <v>87.0</v>
      </c>
      <c r="D88" s="1">
        <v>5.163</v>
      </c>
      <c r="E88" s="1">
        <v>5.063</v>
      </c>
      <c r="F88" s="1">
        <v>5.263</v>
      </c>
      <c r="G88" s="1">
        <v>0.93383</v>
      </c>
      <c r="H88" s="1">
        <v>0.64367</v>
      </c>
      <c r="I88" s="1">
        <v>0.70766</v>
      </c>
      <c r="J88" s="1">
        <v>0.09511</v>
      </c>
      <c r="K88" s="1">
        <v>0.0</v>
      </c>
      <c r="L88" s="1">
        <v>0.29889</v>
      </c>
      <c r="M88" s="1">
        <v>2.48406</v>
      </c>
    </row>
    <row r="89">
      <c r="A89" s="1" t="s">
        <v>110</v>
      </c>
      <c r="B89" s="1" t="s">
        <v>46</v>
      </c>
      <c r="C89" s="1">
        <v>88.0</v>
      </c>
      <c r="D89" s="1">
        <v>5.161</v>
      </c>
      <c r="E89" s="1">
        <v>5.055</v>
      </c>
      <c r="F89" s="1">
        <v>5.267</v>
      </c>
      <c r="G89" s="1">
        <v>1.07838</v>
      </c>
      <c r="H89" s="1">
        <v>0.74173</v>
      </c>
      <c r="I89" s="1">
        <v>0.63533</v>
      </c>
      <c r="J89" s="1">
        <v>0.15111</v>
      </c>
      <c r="K89" s="1">
        <v>0.12721</v>
      </c>
      <c r="L89" s="1">
        <v>0.17191</v>
      </c>
      <c r="M89" s="1">
        <v>2.25531</v>
      </c>
    </row>
    <row r="90">
      <c r="A90" s="1" t="s">
        <v>111</v>
      </c>
      <c r="B90" s="1" t="s">
        <v>31</v>
      </c>
      <c r="C90" s="1">
        <v>89.0</v>
      </c>
      <c r="D90" s="1">
        <v>5.155</v>
      </c>
      <c r="E90" s="1">
        <v>5.037</v>
      </c>
      <c r="F90" s="1">
        <v>5.273</v>
      </c>
      <c r="G90" s="1">
        <v>1.02787</v>
      </c>
      <c r="H90" s="1">
        <v>0.99496</v>
      </c>
      <c r="I90" s="1">
        <v>0.57669</v>
      </c>
      <c r="J90" s="1">
        <v>0.52259</v>
      </c>
      <c r="K90" s="1">
        <v>0.12372</v>
      </c>
      <c r="L90" s="1">
        <v>0.21286</v>
      </c>
      <c r="M90" s="1">
        <v>1.69626</v>
      </c>
    </row>
    <row r="91">
      <c r="A91" s="1" t="s">
        <v>112</v>
      </c>
      <c r="B91" s="1" t="s">
        <v>27</v>
      </c>
      <c r="C91" s="1">
        <v>90.0</v>
      </c>
      <c r="D91" s="1">
        <v>5.151</v>
      </c>
      <c r="E91" s="1">
        <v>5.058</v>
      </c>
      <c r="F91" s="1">
        <v>5.244</v>
      </c>
      <c r="G91" s="1">
        <v>0.84058</v>
      </c>
      <c r="H91" s="1">
        <v>0.38595</v>
      </c>
      <c r="I91" s="1">
        <v>0.59471</v>
      </c>
      <c r="J91" s="1">
        <v>0.25646</v>
      </c>
      <c r="K91" s="1">
        <v>0.08404</v>
      </c>
      <c r="L91" s="1">
        <v>0.04053</v>
      </c>
      <c r="M91" s="1">
        <v>2.94891</v>
      </c>
    </row>
    <row r="92">
      <c r="A92" s="1" t="s">
        <v>113</v>
      </c>
      <c r="B92" s="1" t="s">
        <v>46</v>
      </c>
      <c r="C92" s="1">
        <v>91.0</v>
      </c>
      <c r="D92" s="1">
        <v>5.145</v>
      </c>
      <c r="E92" s="1">
        <v>5.056</v>
      </c>
      <c r="F92" s="1">
        <v>5.234</v>
      </c>
      <c r="G92" s="1">
        <v>1.24142</v>
      </c>
      <c r="H92" s="1">
        <v>0.93164</v>
      </c>
      <c r="I92" s="1">
        <v>0.67608</v>
      </c>
      <c r="J92" s="1">
        <v>0.1977</v>
      </c>
      <c r="K92" s="1">
        <v>0.04472</v>
      </c>
      <c r="L92" s="1">
        <v>0.099</v>
      </c>
      <c r="M92" s="1">
        <v>1.95473</v>
      </c>
    </row>
    <row r="93">
      <c r="A93" s="1" t="s">
        <v>114</v>
      </c>
      <c r="B93" s="1" t="s">
        <v>106</v>
      </c>
      <c r="C93" s="1">
        <v>92.0</v>
      </c>
      <c r="D93" s="1">
        <v>5.132</v>
      </c>
      <c r="E93" s="1">
        <v>5.038</v>
      </c>
      <c r="F93" s="1">
        <v>5.226</v>
      </c>
      <c r="G93" s="1">
        <v>0.68816</v>
      </c>
      <c r="H93" s="1">
        <v>0.26135</v>
      </c>
      <c r="I93" s="1">
        <v>0.40306</v>
      </c>
      <c r="J93" s="1">
        <v>0.14622</v>
      </c>
      <c r="K93" s="1">
        <v>0.1388</v>
      </c>
      <c r="L93" s="1">
        <v>0.31185</v>
      </c>
      <c r="M93" s="1">
        <v>3.18286</v>
      </c>
    </row>
    <row r="94">
      <c r="A94" s="1" t="s">
        <v>115</v>
      </c>
      <c r="B94" s="1" t="s">
        <v>27</v>
      </c>
      <c r="C94" s="1">
        <v>93.0</v>
      </c>
      <c r="D94" s="1">
        <v>5.129</v>
      </c>
      <c r="E94" s="1">
        <v>5.031</v>
      </c>
      <c r="F94" s="1">
        <v>5.227</v>
      </c>
      <c r="G94" s="1">
        <v>1.12268</v>
      </c>
      <c r="H94" s="1">
        <v>0.64184</v>
      </c>
      <c r="I94" s="1">
        <v>0.76171</v>
      </c>
      <c r="J94" s="1">
        <v>0.26228</v>
      </c>
      <c r="K94" s="1">
        <v>0.03061</v>
      </c>
      <c r="L94" s="1">
        <v>0.23693</v>
      </c>
      <c r="M94" s="1">
        <v>2.07339</v>
      </c>
    </row>
    <row r="95">
      <c r="A95" s="1" t="s">
        <v>116</v>
      </c>
      <c r="B95" s="1" t="s">
        <v>14</v>
      </c>
      <c r="C95" s="1">
        <v>94.0</v>
      </c>
      <c r="D95" s="1">
        <v>5.123</v>
      </c>
      <c r="E95" s="1">
        <v>5.03</v>
      </c>
      <c r="F95" s="1">
        <v>5.216</v>
      </c>
      <c r="G95" s="1">
        <v>1.27607</v>
      </c>
      <c r="H95" s="1">
        <v>0.94367</v>
      </c>
      <c r="I95" s="1">
        <v>0.79363</v>
      </c>
      <c r="J95" s="1">
        <v>0.44727</v>
      </c>
      <c r="K95" s="1">
        <v>0.01521</v>
      </c>
      <c r="L95" s="1">
        <v>0.11691</v>
      </c>
      <c r="M95" s="1">
        <v>1.53015</v>
      </c>
    </row>
    <row r="96">
      <c r="A96" s="1" t="s">
        <v>117</v>
      </c>
      <c r="B96" s="1" t="s">
        <v>46</v>
      </c>
      <c r="C96" s="1">
        <v>95.0</v>
      </c>
      <c r="D96" s="1">
        <v>5.121</v>
      </c>
      <c r="E96" s="1">
        <v>5.017</v>
      </c>
      <c r="F96" s="1">
        <v>5.225</v>
      </c>
      <c r="G96" s="1">
        <v>1.0193</v>
      </c>
      <c r="H96" s="1">
        <v>0.78236</v>
      </c>
      <c r="I96" s="1">
        <v>0.64738</v>
      </c>
      <c r="J96" s="1">
        <v>0.27668</v>
      </c>
      <c r="K96" s="1">
        <v>0.07047</v>
      </c>
      <c r="L96" s="1">
        <v>0.23507</v>
      </c>
      <c r="M96" s="1">
        <v>2.08947</v>
      </c>
    </row>
    <row r="97">
      <c r="A97" s="1" t="s">
        <v>118</v>
      </c>
      <c r="B97" s="1" t="s">
        <v>40</v>
      </c>
      <c r="C97" s="1">
        <v>96.0</v>
      </c>
      <c r="D97" s="1">
        <v>5.061</v>
      </c>
      <c r="E97" s="1">
        <v>4.991</v>
      </c>
      <c r="F97" s="1">
        <v>5.131</v>
      </c>
      <c r="G97" s="1">
        <v>0.74037</v>
      </c>
      <c r="H97" s="1">
        <v>0.79117</v>
      </c>
      <c r="I97" s="1">
        <v>0.66157</v>
      </c>
      <c r="J97" s="1">
        <v>0.55954</v>
      </c>
      <c r="K97" s="1">
        <v>0.11556</v>
      </c>
      <c r="L97" s="1">
        <v>0.25075</v>
      </c>
      <c r="M97" s="1">
        <v>1.9418</v>
      </c>
    </row>
    <row r="98">
      <c r="A98" s="1" t="s">
        <v>119</v>
      </c>
      <c r="B98" s="1" t="s">
        <v>87</v>
      </c>
      <c r="C98" s="1">
        <v>97.0</v>
      </c>
      <c r="D98" s="1">
        <v>5.057</v>
      </c>
      <c r="E98" s="1">
        <v>4.934</v>
      </c>
      <c r="F98" s="1">
        <v>5.18</v>
      </c>
      <c r="G98" s="1">
        <v>0.25558</v>
      </c>
      <c r="H98" s="1">
        <v>0.75862</v>
      </c>
      <c r="I98" s="1">
        <v>0.33108</v>
      </c>
      <c r="J98" s="1">
        <v>0.3913</v>
      </c>
      <c r="K98" s="1">
        <v>0.36794</v>
      </c>
      <c r="L98" s="1">
        <v>0.51479</v>
      </c>
      <c r="M98" s="1">
        <v>2.43801</v>
      </c>
    </row>
    <row r="99">
      <c r="A99" s="1" t="s">
        <v>120</v>
      </c>
      <c r="B99" s="1" t="s">
        <v>27</v>
      </c>
      <c r="C99" s="1">
        <v>98.0</v>
      </c>
      <c r="D99" s="1">
        <v>5.045</v>
      </c>
      <c r="E99" s="1">
        <v>4.965</v>
      </c>
      <c r="F99" s="1">
        <v>5.125</v>
      </c>
      <c r="G99" s="1">
        <v>0.97724</v>
      </c>
      <c r="H99" s="1">
        <v>0.43165</v>
      </c>
      <c r="I99" s="1">
        <v>0.59577</v>
      </c>
      <c r="J99" s="1">
        <v>0.23553</v>
      </c>
      <c r="K99" s="1">
        <v>0.0817</v>
      </c>
      <c r="L99" s="1">
        <v>0.03936</v>
      </c>
      <c r="M99" s="1">
        <v>2.68413</v>
      </c>
    </row>
    <row r="100">
      <c r="A100" s="1" t="s">
        <v>121</v>
      </c>
      <c r="B100" s="1" t="s">
        <v>14</v>
      </c>
      <c r="C100" s="1">
        <v>99.0</v>
      </c>
      <c r="D100" s="1">
        <v>5.033</v>
      </c>
      <c r="E100" s="1">
        <v>4.935</v>
      </c>
      <c r="F100" s="1">
        <v>5.131</v>
      </c>
      <c r="G100" s="1">
        <v>1.24886</v>
      </c>
      <c r="H100" s="1">
        <v>0.75473</v>
      </c>
      <c r="I100" s="1">
        <v>0.80029</v>
      </c>
      <c r="J100" s="1">
        <v>0.05822</v>
      </c>
      <c r="K100" s="1">
        <v>0.04127</v>
      </c>
      <c r="L100" s="1">
        <v>0.0</v>
      </c>
      <c r="M100" s="1">
        <v>2.12944</v>
      </c>
    </row>
    <row r="101">
      <c r="A101" s="1" t="s">
        <v>122</v>
      </c>
      <c r="B101" s="1" t="s">
        <v>46</v>
      </c>
      <c r="C101" s="1">
        <v>100.0</v>
      </c>
      <c r="D101" s="1">
        <v>4.996</v>
      </c>
      <c r="E101" s="1">
        <v>4.923</v>
      </c>
      <c r="F101" s="1">
        <v>5.069</v>
      </c>
      <c r="G101" s="1">
        <v>0.48835</v>
      </c>
      <c r="H101" s="1">
        <v>0.75602</v>
      </c>
      <c r="I101" s="1">
        <v>0.53119</v>
      </c>
      <c r="J101" s="1">
        <v>0.43408</v>
      </c>
      <c r="K101" s="1">
        <v>0.13509</v>
      </c>
      <c r="L101" s="1">
        <v>0.25998</v>
      </c>
      <c r="M101" s="1">
        <v>2.39106</v>
      </c>
    </row>
    <row r="102">
      <c r="A102" s="1" t="s">
        <v>123</v>
      </c>
      <c r="B102" s="1" t="s">
        <v>55</v>
      </c>
      <c r="C102" s="1">
        <v>101.0</v>
      </c>
      <c r="D102" s="1">
        <v>4.907</v>
      </c>
      <c r="E102" s="1">
        <v>4.838</v>
      </c>
      <c r="F102" s="1">
        <v>4.976</v>
      </c>
      <c r="G102" s="1">
        <v>0.98853</v>
      </c>
      <c r="H102" s="1">
        <v>1.08983</v>
      </c>
      <c r="I102" s="1">
        <v>0.55469</v>
      </c>
      <c r="J102" s="1">
        <v>0.35972</v>
      </c>
      <c r="K102" s="1">
        <v>0.03285</v>
      </c>
      <c r="L102" s="1">
        <v>0.34539</v>
      </c>
      <c r="M102" s="1">
        <v>1.53586</v>
      </c>
    </row>
    <row r="103">
      <c r="A103" s="1" t="s">
        <v>124</v>
      </c>
      <c r="B103" s="1" t="s">
        <v>40</v>
      </c>
      <c r="C103" s="1">
        <v>102.0</v>
      </c>
      <c r="D103" s="1">
        <v>4.876</v>
      </c>
      <c r="E103" s="1">
        <v>4.742</v>
      </c>
      <c r="F103" s="1">
        <v>5.01</v>
      </c>
      <c r="G103" s="1">
        <v>0.68042</v>
      </c>
      <c r="H103" s="1">
        <v>0.5497</v>
      </c>
      <c r="I103" s="1">
        <v>0.38291</v>
      </c>
      <c r="J103" s="1">
        <v>0.52168</v>
      </c>
      <c r="K103" s="1">
        <v>0.22423</v>
      </c>
      <c r="L103" s="1">
        <v>0.43079</v>
      </c>
      <c r="M103" s="1">
        <v>2.08637</v>
      </c>
    </row>
    <row r="104">
      <c r="A104" s="1" t="s">
        <v>125</v>
      </c>
      <c r="B104" s="1" t="s">
        <v>87</v>
      </c>
      <c r="C104" s="1">
        <v>103.0</v>
      </c>
      <c r="D104" s="1">
        <v>4.875</v>
      </c>
      <c r="E104" s="1">
        <v>4.75</v>
      </c>
      <c r="F104" s="1">
        <v>5.0</v>
      </c>
      <c r="G104" s="1">
        <v>0.75216</v>
      </c>
      <c r="H104" s="1">
        <v>0.64498</v>
      </c>
      <c r="I104" s="1">
        <v>0.05108</v>
      </c>
      <c r="J104" s="1">
        <v>0.27854</v>
      </c>
      <c r="K104" s="1">
        <v>0.0305</v>
      </c>
      <c r="L104" s="1">
        <v>0.23219</v>
      </c>
      <c r="M104" s="1">
        <v>2.88586</v>
      </c>
    </row>
    <row r="105">
      <c r="A105" s="1" t="s">
        <v>126</v>
      </c>
      <c r="B105" s="1" t="s">
        <v>31</v>
      </c>
      <c r="C105" s="1">
        <v>104.0</v>
      </c>
      <c r="D105" s="1">
        <v>4.871</v>
      </c>
      <c r="E105" s="1">
        <v>4.75</v>
      </c>
      <c r="F105" s="1">
        <v>4.992</v>
      </c>
      <c r="G105" s="1">
        <v>0.69429</v>
      </c>
      <c r="H105" s="1">
        <v>0.75596</v>
      </c>
      <c r="I105" s="1">
        <v>0.58383</v>
      </c>
      <c r="J105" s="1">
        <v>0.26755</v>
      </c>
      <c r="K105" s="1">
        <v>0.06906</v>
      </c>
      <c r="L105" s="1">
        <v>0.2044</v>
      </c>
      <c r="M105" s="1">
        <v>2.29551</v>
      </c>
    </row>
    <row r="106">
      <c r="A106" s="1" t="s">
        <v>127</v>
      </c>
      <c r="B106" s="1" t="s">
        <v>27</v>
      </c>
      <c r="C106" s="1">
        <v>105.0</v>
      </c>
      <c r="D106" s="1">
        <v>4.813</v>
      </c>
      <c r="E106" s="1">
        <v>4.703</v>
      </c>
      <c r="F106" s="1">
        <v>4.923</v>
      </c>
      <c r="G106" s="1">
        <v>1.11758</v>
      </c>
      <c r="H106" s="1">
        <v>0.38857</v>
      </c>
      <c r="I106" s="1">
        <v>0.64232</v>
      </c>
      <c r="J106" s="1">
        <v>0.22544</v>
      </c>
      <c r="K106" s="1">
        <v>0.0557</v>
      </c>
      <c r="L106" s="1">
        <v>0.38538</v>
      </c>
      <c r="M106" s="1">
        <v>1.99817</v>
      </c>
    </row>
    <row r="107">
      <c r="A107" s="1" t="s">
        <v>128</v>
      </c>
      <c r="B107" s="1" t="s">
        <v>87</v>
      </c>
      <c r="C107" s="1">
        <v>106.0</v>
      </c>
      <c r="D107" s="1">
        <v>4.795</v>
      </c>
      <c r="E107" s="1">
        <v>4.645</v>
      </c>
      <c r="F107" s="1">
        <v>4.945</v>
      </c>
      <c r="G107" s="1">
        <v>0.61202</v>
      </c>
      <c r="H107" s="1">
        <v>0.6376</v>
      </c>
      <c r="I107" s="1">
        <v>0.23573</v>
      </c>
      <c r="J107" s="1">
        <v>0.42662</v>
      </c>
      <c r="K107" s="1">
        <v>0.11479</v>
      </c>
      <c r="L107" s="1">
        <v>0.17866</v>
      </c>
      <c r="M107" s="1">
        <v>2.58991</v>
      </c>
    </row>
    <row r="108">
      <c r="A108" s="1" t="s">
        <v>129</v>
      </c>
      <c r="B108" s="1" t="s">
        <v>106</v>
      </c>
      <c r="C108" s="1">
        <v>107.0</v>
      </c>
      <c r="D108" s="1">
        <v>4.793</v>
      </c>
      <c r="E108" s="1">
        <v>4.698</v>
      </c>
      <c r="F108" s="1">
        <v>4.888</v>
      </c>
      <c r="G108" s="1">
        <v>0.44626</v>
      </c>
      <c r="H108" s="1">
        <v>0.69699</v>
      </c>
      <c r="I108" s="1">
        <v>0.50073</v>
      </c>
      <c r="J108" s="1">
        <v>0.37012</v>
      </c>
      <c r="K108" s="1">
        <v>0.07008</v>
      </c>
      <c r="L108" s="1">
        <v>0.3816</v>
      </c>
      <c r="M108" s="1">
        <v>2.32694</v>
      </c>
    </row>
    <row r="109">
      <c r="A109" s="1" t="s">
        <v>130</v>
      </c>
      <c r="B109" s="1" t="s">
        <v>27</v>
      </c>
      <c r="C109" s="1">
        <v>108.0</v>
      </c>
      <c r="D109" s="1">
        <v>4.754</v>
      </c>
      <c r="E109" s="1">
        <v>4.649</v>
      </c>
      <c r="F109" s="1">
        <v>4.859</v>
      </c>
      <c r="G109" s="1">
        <v>0.67024</v>
      </c>
      <c r="H109" s="1">
        <v>0.71629</v>
      </c>
      <c r="I109" s="1">
        <v>0.56844</v>
      </c>
      <c r="J109" s="1">
        <v>0.17744</v>
      </c>
      <c r="K109" s="1">
        <v>0.10613</v>
      </c>
      <c r="L109" s="1">
        <v>0.11154</v>
      </c>
      <c r="M109" s="1">
        <v>2.40364</v>
      </c>
    </row>
    <row r="110">
      <c r="A110" s="1" t="s">
        <v>131</v>
      </c>
      <c r="B110" s="1" t="s">
        <v>46</v>
      </c>
      <c r="C110" s="1">
        <v>109.0</v>
      </c>
      <c r="D110" s="1">
        <v>4.655</v>
      </c>
      <c r="E110" s="1">
        <v>4.546</v>
      </c>
      <c r="F110" s="1">
        <v>4.764</v>
      </c>
      <c r="G110" s="1">
        <v>0.9553</v>
      </c>
      <c r="H110" s="1">
        <v>0.50163</v>
      </c>
      <c r="I110" s="1">
        <v>0.73007</v>
      </c>
      <c r="J110" s="1">
        <v>0.31866</v>
      </c>
      <c r="K110" s="1">
        <v>0.05301</v>
      </c>
      <c r="L110" s="1">
        <v>0.1684</v>
      </c>
      <c r="M110" s="1">
        <v>1.92816</v>
      </c>
    </row>
    <row r="111">
      <c r="A111" s="1" t="s">
        <v>132</v>
      </c>
      <c r="B111" s="1" t="s">
        <v>106</v>
      </c>
      <c r="C111" s="1">
        <v>110.0</v>
      </c>
      <c r="D111" s="1">
        <v>4.643</v>
      </c>
      <c r="E111" s="1">
        <v>4.56</v>
      </c>
      <c r="F111" s="1">
        <v>4.726</v>
      </c>
      <c r="G111" s="1">
        <v>0.54177</v>
      </c>
      <c r="H111" s="1">
        <v>0.24749</v>
      </c>
      <c r="I111" s="1">
        <v>0.52989</v>
      </c>
      <c r="J111" s="1">
        <v>0.39778</v>
      </c>
      <c r="K111" s="1">
        <v>0.12583</v>
      </c>
      <c r="L111" s="1">
        <v>0.19132</v>
      </c>
      <c r="M111" s="1">
        <v>2.60904</v>
      </c>
    </row>
    <row r="112">
      <c r="A112" s="1" t="s">
        <v>133</v>
      </c>
      <c r="B112" s="1" t="s">
        <v>87</v>
      </c>
      <c r="C112" s="1">
        <v>111.0</v>
      </c>
      <c r="D112" s="1">
        <v>4.635</v>
      </c>
      <c r="E112" s="1">
        <v>4.505</v>
      </c>
      <c r="F112" s="1">
        <v>4.765</v>
      </c>
      <c r="G112" s="1">
        <v>0.36485</v>
      </c>
      <c r="H112" s="1">
        <v>0.628</v>
      </c>
      <c r="I112" s="1">
        <v>0.0</v>
      </c>
      <c r="J112" s="1">
        <v>0.30685</v>
      </c>
      <c r="K112" s="1">
        <v>0.08196</v>
      </c>
      <c r="L112" s="1">
        <v>0.23897</v>
      </c>
      <c r="M112" s="1">
        <v>3.01402</v>
      </c>
    </row>
    <row r="113">
      <c r="A113" s="1" t="s">
        <v>134</v>
      </c>
      <c r="B113" s="1" t="s">
        <v>27</v>
      </c>
      <c r="C113" s="1">
        <v>112.0</v>
      </c>
      <c r="D113" s="1">
        <v>4.575</v>
      </c>
      <c r="E113" s="1">
        <v>4.446</v>
      </c>
      <c r="F113" s="1">
        <v>4.704</v>
      </c>
      <c r="G113" s="1">
        <v>1.07474</v>
      </c>
      <c r="H113" s="1">
        <v>0.59205</v>
      </c>
      <c r="I113" s="1">
        <v>0.51076</v>
      </c>
      <c r="J113" s="1">
        <v>0.24856</v>
      </c>
      <c r="K113" s="1">
        <v>0.13636</v>
      </c>
      <c r="L113" s="1">
        <v>0.19589</v>
      </c>
      <c r="M113" s="1">
        <v>1.81657</v>
      </c>
    </row>
    <row r="114">
      <c r="A114" s="1" t="s">
        <v>135</v>
      </c>
      <c r="B114" s="1" t="s">
        <v>87</v>
      </c>
      <c r="C114" s="1">
        <v>113.0</v>
      </c>
      <c r="D114" s="1">
        <v>4.574</v>
      </c>
      <c r="E114" s="1">
        <v>4.374</v>
      </c>
      <c r="F114" s="1">
        <v>4.774</v>
      </c>
      <c r="G114" s="1">
        <v>0.93287</v>
      </c>
      <c r="H114" s="1">
        <v>0.70362</v>
      </c>
      <c r="I114" s="1">
        <v>0.34745</v>
      </c>
      <c r="J114" s="1">
        <v>0.48614</v>
      </c>
      <c r="K114" s="1">
        <v>0.10398</v>
      </c>
      <c r="L114" s="1">
        <v>0.07795</v>
      </c>
      <c r="M114" s="1">
        <v>1.92198</v>
      </c>
    </row>
    <row r="115">
      <c r="A115" s="1" t="s">
        <v>136</v>
      </c>
      <c r="B115" s="1" t="s">
        <v>87</v>
      </c>
      <c r="C115" s="1">
        <v>114.0</v>
      </c>
      <c r="D115" s="1">
        <v>4.513</v>
      </c>
      <c r="E115" s="1">
        <v>4.417</v>
      </c>
      <c r="F115" s="1">
        <v>4.609</v>
      </c>
      <c r="G115" s="1">
        <v>0.52497</v>
      </c>
      <c r="H115" s="1">
        <v>0.62542</v>
      </c>
      <c r="I115" s="1">
        <v>0.12698</v>
      </c>
      <c r="J115" s="1">
        <v>0.42736</v>
      </c>
      <c r="K115" s="1">
        <v>0.06126</v>
      </c>
      <c r="L115" s="1">
        <v>0.2268</v>
      </c>
      <c r="M115" s="1">
        <v>2.5198</v>
      </c>
    </row>
    <row r="116">
      <c r="A116" s="1" t="s">
        <v>137</v>
      </c>
      <c r="B116" s="1" t="s">
        <v>87</v>
      </c>
      <c r="C116" s="1">
        <v>115.0</v>
      </c>
      <c r="D116" s="1">
        <v>4.508</v>
      </c>
      <c r="E116" s="1">
        <v>4.425</v>
      </c>
      <c r="F116" s="1">
        <v>4.591</v>
      </c>
      <c r="G116" s="1">
        <v>0.29283</v>
      </c>
      <c r="H116" s="1">
        <v>0.37932</v>
      </c>
      <c r="I116" s="1">
        <v>0.34578</v>
      </c>
      <c r="J116" s="1">
        <v>0.36703</v>
      </c>
      <c r="K116" s="1">
        <v>0.1717</v>
      </c>
      <c r="L116" s="1">
        <v>0.29522</v>
      </c>
      <c r="M116" s="1">
        <v>2.65614</v>
      </c>
    </row>
    <row r="117">
      <c r="A117" s="1" t="s">
        <v>138</v>
      </c>
      <c r="B117" s="1" t="s">
        <v>87</v>
      </c>
      <c r="C117" s="1">
        <v>116.0</v>
      </c>
      <c r="D117" s="1">
        <v>4.459</v>
      </c>
      <c r="E117" s="1">
        <v>4.371</v>
      </c>
      <c r="F117" s="1">
        <v>4.547</v>
      </c>
      <c r="G117" s="1">
        <v>1.02416</v>
      </c>
      <c r="H117" s="1">
        <v>0.96053</v>
      </c>
      <c r="I117" s="1">
        <v>0.18611</v>
      </c>
      <c r="J117" s="1">
        <v>0.42483</v>
      </c>
      <c r="K117" s="1">
        <v>0.08415</v>
      </c>
      <c r="L117" s="1">
        <v>0.13656</v>
      </c>
      <c r="M117" s="1">
        <v>1.64227</v>
      </c>
    </row>
    <row r="118">
      <c r="A118" s="1" t="s">
        <v>139</v>
      </c>
      <c r="B118" s="1" t="s">
        <v>106</v>
      </c>
      <c r="C118" s="1">
        <v>117.0</v>
      </c>
      <c r="D118" s="1">
        <v>4.415</v>
      </c>
      <c r="E118" s="1">
        <v>4.322</v>
      </c>
      <c r="F118" s="1">
        <v>4.508</v>
      </c>
      <c r="G118" s="1">
        <v>0.97318</v>
      </c>
      <c r="H118" s="1">
        <v>0.84783</v>
      </c>
      <c r="I118" s="1">
        <v>0.62007</v>
      </c>
      <c r="J118" s="1">
        <v>0.50817</v>
      </c>
      <c r="K118" s="1">
        <v>0.07964</v>
      </c>
      <c r="L118" s="1">
        <v>0.46978</v>
      </c>
      <c r="M118" s="1">
        <v>0.91681</v>
      </c>
    </row>
    <row r="119">
      <c r="A119" s="1" t="s">
        <v>140</v>
      </c>
      <c r="B119" s="1" t="s">
        <v>106</v>
      </c>
      <c r="C119" s="1">
        <v>118.0</v>
      </c>
      <c r="D119" s="1">
        <v>4.404</v>
      </c>
      <c r="E119" s="1">
        <v>4.351</v>
      </c>
      <c r="F119" s="1">
        <v>4.457</v>
      </c>
      <c r="G119" s="1">
        <v>0.74036</v>
      </c>
      <c r="H119" s="1">
        <v>0.29247</v>
      </c>
      <c r="I119" s="1">
        <v>0.45091</v>
      </c>
      <c r="J119" s="1">
        <v>0.40285</v>
      </c>
      <c r="K119" s="1">
        <v>0.08722</v>
      </c>
      <c r="L119" s="1">
        <v>0.25028</v>
      </c>
      <c r="M119" s="1">
        <v>2.18032</v>
      </c>
    </row>
    <row r="120">
      <c r="A120" s="1" t="s">
        <v>141</v>
      </c>
      <c r="B120" s="1" t="s">
        <v>40</v>
      </c>
      <c r="C120" s="1">
        <v>119.0</v>
      </c>
      <c r="D120" s="1">
        <v>4.395</v>
      </c>
      <c r="E120" s="1">
        <v>4.327</v>
      </c>
      <c r="F120" s="1">
        <v>4.463</v>
      </c>
      <c r="G120" s="1">
        <v>0.34112</v>
      </c>
      <c r="H120" s="1">
        <v>0.69981</v>
      </c>
      <c r="I120" s="1">
        <v>0.3988</v>
      </c>
      <c r="J120" s="1">
        <v>0.42692</v>
      </c>
      <c r="K120" s="1">
        <v>0.20243</v>
      </c>
      <c r="L120" s="1">
        <v>0.81971</v>
      </c>
      <c r="M120" s="1">
        <v>1.50655</v>
      </c>
    </row>
    <row r="121">
      <c r="A121" s="1" t="s">
        <v>142</v>
      </c>
      <c r="B121" s="1" t="s">
        <v>27</v>
      </c>
      <c r="C121" s="1">
        <v>120.0</v>
      </c>
      <c r="D121" s="1">
        <v>4.362</v>
      </c>
      <c r="E121" s="1">
        <v>4.259</v>
      </c>
      <c r="F121" s="1">
        <v>4.465</v>
      </c>
      <c r="G121" s="1">
        <v>0.95395</v>
      </c>
      <c r="H121" s="1">
        <v>0.49813</v>
      </c>
      <c r="I121" s="1">
        <v>0.52116</v>
      </c>
      <c r="J121" s="1">
        <v>0.18847</v>
      </c>
      <c r="K121" s="1">
        <v>0.10393</v>
      </c>
      <c r="L121" s="1">
        <v>0.12706</v>
      </c>
      <c r="M121" s="1">
        <v>1.96895</v>
      </c>
    </row>
    <row r="122">
      <c r="A122" s="1" t="s">
        <v>143</v>
      </c>
      <c r="B122" s="1" t="s">
        <v>46</v>
      </c>
      <c r="C122" s="1">
        <v>121.0</v>
      </c>
      <c r="D122" s="1">
        <v>4.36</v>
      </c>
      <c r="E122" s="1">
        <v>4.266</v>
      </c>
      <c r="F122" s="1">
        <v>4.454</v>
      </c>
      <c r="G122" s="1">
        <v>0.86086</v>
      </c>
      <c r="H122" s="1">
        <v>0.62477</v>
      </c>
      <c r="I122" s="1">
        <v>0.64083</v>
      </c>
      <c r="J122" s="1">
        <v>0.14037</v>
      </c>
      <c r="K122" s="1">
        <v>0.03616</v>
      </c>
      <c r="L122" s="1">
        <v>0.07793</v>
      </c>
      <c r="M122" s="1">
        <v>1.97864</v>
      </c>
    </row>
    <row r="123">
      <c r="A123" s="1" t="s">
        <v>144</v>
      </c>
      <c r="B123" s="1" t="s">
        <v>87</v>
      </c>
      <c r="C123" s="1">
        <v>122.0</v>
      </c>
      <c r="D123" s="1">
        <v>4.356</v>
      </c>
      <c r="E123" s="1">
        <v>4.259</v>
      </c>
      <c r="F123" s="1">
        <v>4.453</v>
      </c>
      <c r="G123" s="1">
        <v>0.52267</v>
      </c>
      <c r="H123" s="1">
        <v>0.7624</v>
      </c>
      <c r="I123" s="1">
        <v>0.30147</v>
      </c>
      <c r="J123" s="1">
        <v>0.40576</v>
      </c>
      <c r="K123" s="1">
        <v>0.06686</v>
      </c>
      <c r="L123" s="1">
        <v>0.41328</v>
      </c>
      <c r="M123" s="1">
        <v>1.88326</v>
      </c>
    </row>
    <row r="124">
      <c r="A124" s="1" t="s">
        <v>145</v>
      </c>
      <c r="B124" s="1" t="s">
        <v>46</v>
      </c>
      <c r="C124" s="1">
        <v>123.0</v>
      </c>
      <c r="D124" s="1">
        <v>4.324</v>
      </c>
      <c r="E124" s="1">
        <v>4.236</v>
      </c>
      <c r="F124" s="1">
        <v>4.412</v>
      </c>
      <c r="G124" s="1">
        <v>0.87287</v>
      </c>
      <c r="H124" s="1">
        <v>1.01413</v>
      </c>
      <c r="I124" s="1">
        <v>0.58628</v>
      </c>
      <c r="J124" s="1">
        <v>0.12859</v>
      </c>
      <c r="K124" s="1">
        <v>0.01829</v>
      </c>
      <c r="L124" s="1">
        <v>0.20363</v>
      </c>
      <c r="M124" s="1">
        <v>1.50066</v>
      </c>
    </row>
    <row r="125">
      <c r="A125" s="1" t="s">
        <v>146</v>
      </c>
      <c r="B125" s="1" t="s">
        <v>87</v>
      </c>
      <c r="C125" s="1">
        <v>124.0</v>
      </c>
      <c r="D125" s="1">
        <v>4.276</v>
      </c>
      <c r="E125" s="1">
        <v>4.185</v>
      </c>
      <c r="F125" s="1">
        <v>4.367</v>
      </c>
      <c r="G125" s="1">
        <v>0.63107</v>
      </c>
      <c r="H125" s="1">
        <v>0.49353</v>
      </c>
      <c r="I125" s="1">
        <v>0.29681</v>
      </c>
      <c r="J125" s="1">
        <v>0.40973</v>
      </c>
      <c r="K125" s="1">
        <v>0.0326</v>
      </c>
      <c r="L125" s="1">
        <v>0.21203</v>
      </c>
      <c r="M125" s="1">
        <v>2.2002</v>
      </c>
    </row>
    <row r="126">
      <c r="A126" s="1" t="s">
        <v>147</v>
      </c>
      <c r="B126" s="1" t="s">
        <v>87</v>
      </c>
      <c r="C126" s="1">
        <v>125.0</v>
      </c>
      <c r="D126" s="1">
        <v>4.272</v>
      </c>
      <c r="E126" s="1">
        <v>4.191</v>
      </c>
      <c r="F126" s="1">
        <v>4.353</v>
      </c>
      <c r="G126" s="1">
        <v>0.05661</v>
      </c>
      <c r="H126" s="1">
        <v>0.80676</v>
      </c>
      <c r="I126" s="1">
        <v>0.188</v>
      </c>
      <c r="J126" s="1">
        <v>0.15602</v>
      </c>
      <c r="K126" s="1">
        <v>0.06075</v>
      </c>
      <c r="L126" s="1">
        <v>0.25458</v>
      </c>
      <c r="M126" s="1">
        <v>2.74924</v>
      </c>
    </row>
    <row r="127">
      <c r="A127" s="1" t="s">
        <v>148</v>
      </c>
      <c r="B127" s="1" t="s">
        <v>46</v>
      </c>
      <c r="C127" s="1">
        <v>126.0</v>
      </c>
      <c r="D127" s="1">
        <v>4.252</v>
      </c>
      <c r="E127" s="1">
        <v>4.164</v>
      </c>
      <c r="F127" s="1">
        <v>4.34</v>
      </c>
      <c r="G127" s="1">
        <v>0.83792</v>
      </c>
      <c r="H127" s="1">
        <v>0.19249</v>
      </c>
      <c r="I127" s="1">
        <v>0.64035</v>
      </c>
      <c r="J127" s="1">
        <v>0.32461</v>
      </c>
      <c r="K127" s="1">
        <v>0.3188</v>
      </c>
      <c r="L127" s="1">
        <v>0.06786</v>
      </c>
      <c r="M127" s="1">
        <v>1.87031</v>
      </c>
    </row>
    <row r="128">
      <c r="A128" s="1" t="s">
        <v>149</v>
      </c>
      <c r="B128" s="1" t="s">
        <v>87</v>
      </c>
      <c r="C128" s="1">
        <v>127.0</v>
      </c>
      <c r="D128" s="1">
        <v>4.236</v>
      </c>
      <c r="E128" s="1">
        <v>4.107</v>
      </c>
      <c r="F128" s="1">
        <v>4.365</v>
      </c>
      <c r="G128" s="1">
        <v>0.77109</v>
      </c>
      <c r="H128" s="1">
        <v>0.47799</v>
      </c>
      <c r="I128" s="1">
        <v>0.28212</v>
      </c>
      <c r="J128" s="1">
        <v>0.37938</v>
      </c>
      <c r="K128" s="1">
        <v>0.09753</v>
      </c>
      <c r="L128" s="1">
        <v>0.12077</v>
      </c>
      <c r="M128" s="1">
        <v>2.10681</v>
      </c>
    </row>
    <row r="129">
      <c r="A129" s="1" t="s">
        <v>150</v>
      </c>
      <c r="B129" s="1" t="s">
        <v>87</v>
      </c>
      <c r="C129" s="1">
        <v>128.0</v>
      </c>
      <c r="D129" s="1">
        <v>4.219</v>
      </c>
      <c r="E129" s="1">
        <v>4.151</v>
      </c>
      <c r="F129" s="1">
        <v>4.287</v>
      </c>
      <c r="G129" s="1">
        <v>0.44314</v>
      </c>
      <c r="H129" s="1">
        <v>0.77416</v>
      </c>
      <c r="I129" s="1">
        <v>0.40457</v>
      </c>
      <c r="J129" s="1">
        <v>0.31056</v>
      </c>
      <c r="K129" s="1">
        <v>0.11681</v>
      </c>
      <c r="L129" s="1">
        <v>0.19103</v>
      </c>
      <c r="M129" s="1">
        <v>1.97861</v>
      </c>
    </row>
    <row r="130">
      <c r="A130" s="1" t="s">
        <v>151</v>
      </c>
      <c r="B130" s="1" t="s">
        <v>46</v>
      </c>
      <c r="C130" s="1">
        <v>129.0</v>
      </c>
      <c r="D130" s="1">
        <v>4.217</v>
      </c>
      <c r="E130" s="1">
        <v>4.104</v>
      </c>
      <c r="F130" s="1">
        <v>4.33</v>
      </c>
      <c r="G130" s="1">
        <v>1.11306</v>
      </c>
      <c r="H130" s="1">
        <v>0.92542</v>
      </c>
      <c r="I130" s="1">
        <v>0.67806</v>
      </c>
      <c r="J130" s="1">
        <v>0.21219</v>
      </c>
      <c r="K130" s="1">
        <v>0.00615</v>
      </c>
      <c r="L130" s="1">
        <v>0.12793</v>
      </c>
      <c r="M130" s="1">
        <v>1.15377</v>
      </c>
    </row>
    <row r="131">
      <c r="A131" s="1" t="s">
        <v>152</v>
      </c>
      <c r="B131" s="1" t="s">
        <v>87</v>
      </c>
      <c r="C131" s="1">
        <v>130.0</v>
      </c>
      <c r="D131" s="1">
        <v>4.201</v>
      </c>
      <c r="E131" s="1">
        <v>4.127</v>
      </c>
      <c r="F131" s="1">
        <v>4.275</v>
      </c>
      <c r="G131" s="1">
        <v>0.61391</v>
      </c>
      <c r="H131" s="1">
        <v>0.84142</v>
      </c>
      <c r="I131" s="1">
        <v>0.28639</v>
      </c>
      <c r="J131" s="1">
        <v>0.1268</v>
      </c>
      <c r="K131" s="1">
        <v>0.17955</v>
      </c>
      <c r="L131" s="1">
        <v>0.22686</v>
      </c>
      <c r="M131" s="1">
        <v>1.9263</v>
      </c>
    </row>
    <row r="132">
      <c r="A132" s="1" t="s">
        <v>153</v>
      </c>
      <c r="B132" s="1" t="s">
        <v>87</v>
      </c>
      <c r="C132" s="1">
        <v>131.0</v>
      </c>
      <c r="D132" s="1">
        <v>4.193</v>
      </c>
      <c r="E132" s="1">
        <v>4.101</v>
      </c>
      <c r="F132" s="1">
        <v>4.285</v>
      </c>
      <c r="G132" s="1">
        <v>0.35041</v>
      </c>
      <c r="H132" s="1">
        <v>0.71478</v>
      </c>
      <c r="I132" s="1">
        <v>0.1595</v>
      </c>
      <c r="J132" s="1">
        <v>0.25429</v>
      </c>
      <c r="K132" s="1">
        <v>0.08582</v>
      </c>
      <c r="L132" s="1">
        <v>0.18503</v>
      </c>
      <c r="M132" s="1">
        <v>2.4427</v>
      </c>
    </row>
    <row r="133">
      <c r="A133" s="1" t="s">
        <v>154</v>
      </c>
      <c r="B133" s="1" t="s">
        <v>87</v>
      </c>
      <c r="C133" s="1">
        <v>132.0</v>
      </c>
      <c r="D133" s="1">
        <v>4.156</v>
      </c>
      <c r="E133" s="1">
        <v>4.041</v>
      </c>
      <c r="F133" s="1">
        <v>4.271</v>
      </c>
      <c r="G133" s="1">
        <v>0.08709</v>
      </c>
      <c r="H133" s="1">
        <v>0.147</v>
      </c>
      <c r="I133" s="1">
        <v>0.29364</v>
      </c>
      <c r="J133" s="1">
        <v>0.4143</v>
      </c>
      <c r="K133" s="1">
        <v>0.07564</v>
      </c>
      <c r="L133" s="1">
        <v>0.30968</v>
      </c>
      <c r="M133" s="1">
        <v>2.82859</v>
      </c>
    </row>
    <row r="134">
      <c r="A134" s="1" t="s">
        <v>155</v>
      </c>
      <c r="B134" s="1" t="s">
        <v>87</v>
      </c>
      <c r="C134" s="1">
        <v>133.0</v>
      </c>
      <c r="D134" s="1">
        <v>4.139</v>
      </c>
      <c r="E134" s="1">
        <v>3.928</v>
      </c>
      <c r="F134" s="1">
        <v>4.35</v>
      </c>
      <c r="G134" s="1">
        <v>0.63069</v>
      </c>
      <c r="H134" s="1">
        <v>0.81928</v>
      </c>
      <c r="I134" s="1">
        <v>0.29759</v>
      </c>
      <c r="J134" s="1">
        <v>0.0</v>
      </c>
      <c r="K134" s="1">
        <v>0.10039</v>
      </c>
      <c r="L134" s="1">
        <v>0.18077</v>
      </c>
      <c r="M134" s="1">
        <v>2.10995</v>
      </c>
    </row>
    <row r="135">
      <c r="A135" s="1" t="s">
        <v>156</v>
      </c>
      <c r="B135" s="1" t="s">
        <v>87</v>
      </c>
      <c r="C135" s="1">
        <v>134.0</v>
      </c>
      <c r="D135" s="1">
        <v>4.121</v>
      </c>
      <c r="E135" s="1">
        <v>4.03</v>
      </c>
      <c r="F135" s="1">
        <v>4.212</v>
      </c>
      <c r="G135" s="1">
        <v>1.15851</v>
      </c>
      <c r="H135" s="1">
        <v>0.72368</v>
      </c>
      <c r="I135" s="1">
        <v>0.3494</v>
      </c>
      <c r="J135" s="1">
        <v>0.28098</v>
      </c>
      <c r="K135" s="1">
        <v>0.09314</v>
      </c>
      <c r="L135" s="1">
        <v>0.06244</v>
      </c>
      <c r="M135" s="1">
        <v>1.45332</v>
      </c>
    </row>
    <row r="136">
      <c r="A136" s="1" t="s">
        <v>157</v>
      </c>
      <c r="B136" s="1" t="s">
        <v>87</v>
      </c>
      <c r="C136" s="1">
        <v>135.0</v>
      </c>
      <c r="D136" s="1">
        <v>4.073</v>
      </c>
      <c r="E136" s="1">
        <v>3.988</v>
      </c>
      <c r="F136" s="1">
        <v>4.158</v>
      </c>
      <c r="G136" s="1">
        <v>0.31292</v>
      </c>
      <c r="H136" s="1">
        <v>0.86333</v>
      </c>
      <c r="I136" s="1">
        <v>0.16347</v>
      </c>
      <c r="J136" s="1">
        <v>0.27544</v>
      </c>
      <c r="K136" s="1">
        <v>0.13647</v>
      </c>
      <c r="L136" s="1">
        <v>0.21064</v>
      </c>
      <c r="M136" s="1">
        <v>2.11087</v>
      </c>
    </row>
    <row r="137">
      <c r="A137" s="1" t="s">
        <v>158</v>
      </c>
      <c r="B137" s="1" t="s">
        <v>31</v>
      </c>
      <c r="C137" s="1">
        <v>136.0</v>
      </c>
      <c r="D137" s="1">
        <v>4.028</v>
      </c>
      <c r="E137" s="1">
        <v>3.893</v>
      </c>
      <c r="F137" s="1">
        <v>4.163</v>
      </c>
      <c r="G137" s="1">
        <v>0.34097</v>
      </c>
      <c r="H137" s="1">
        <v>0.29561</v>
      </c>
      <c r="I137" s="1">
        <v>0.27494</v>
      </c>
      <c r="J137" s="1">
        <v>0.12072</v>
      </c>
      <c r="K137" s="1">
        <v>0.14476</v>
      </c>
      <c r="L137" s="1">
        <v>0.47958</v>
      </c>
      <c r="M137" s="1">
        <v>2.37116</v>
      </c>
    </row>
    <row r="138">
      <c r="A138" s="1" t="s">
        <v>159</v>
      </c>
      <c r="B138" s="1" t="s">
        <v>87</v>
      </c>
      <c r="C138" s="1">
        <v>137.0</v>
      </c>
      <c r="D138" s="1">
        <v>3.974</v>
      </c>
      <c r="E138" s="1">
        <v>3.875</v>
      </c>
      <c r="F138" s="1">
        <v>4.073</v>
      </c>
      <c r="G138" s="1">
        <v>1.09426</v>
      </c>
      <c r="H138" s="1">
        <v>0.89186</v>
      </c>
      <c r="I138" s="1">
        <v>0.34752</v>
      </c>
      <c r="J138" s="1">
        <v>0.44089</v>
      </c>
      <c r="K138" s="1">
        <v>0.10769</v>
      </c>
      <c r="L138" s="1">
        <v>0.12425</v>
      </c>
      <c r="M138" s="1">
        <v>0.96741</v>
      </c>
    </row>
    <row r="139">
      <c r="A139" s="1" t="s">
        <v>160</v>
      </c>
      <c r="B139" s="1" t="s">
        <v>87</v>
      </c>
      <c r="C139" s="1">
        <v>138.0</v>
      </c>
      <c r="D139" s="1">
        <v>3.956</v>
      </c>
      <c r="E139" s="1">
        <v>3.86</v>
      </c>
      <c r="F139" s="1">
        <v>4.052</v>
      </c>
      <c r="G139" s="1">
        <v>0.27509</v>
      </c>
      <c r="H139" s="1">
        <v>0.60323</v>
      </c>
      <c r="I139" s="1">
        <v>0.29981</v>
      </c>
      <c r="J139" s="1">
        <v>0.15412</v>
      </c>
      <c r="K139" s="1">
        <v>0.18437</v>
      </c>
      <c r="L139" s="1">
        <v>0.1827</v>
      </c>
      <c r="M139" s="1">
        <v>2.25632</v>
      </c>
    </row>
    <row r="140">
      <c r="A140" s="1" t="s">
        <v>161</v>
      </c>
      <c r="B140" s="1" t="s">
        <v>87</v>
      </c>
      <c r="C140" s="1">
        <v>139.0</v>
      </c>
      <c r="D140" s="1">
        <v>3.916</v>
      </c>
      <c r="E140" s="1">
        <v>3.826</v>
      </c>
      <c r="F140" s="1">
        <v>4.006</v>
      </c>
      <c r="G140" s="1">
        <v>0.55507</v>
      </c>
      <c r="H140" s="1">
        <v>0.57576</v>
      </c>
      <c r="I140" s="1">
        <v>0.04476</v>
      </c>
      <c r="J140" s="1">
        <v>0.40663</v>
      </c>
      <c r="K140" s="1">
        <v>0.1553</v>
      </c>
      <c r="L140" s="1">
        <v>0.20338</v>
      </c>
      <c r="M140" s="1">
        <v>1.97478</v>
      </c>
    </row>
    <row r="141">
      <c r="A141" s="1" t="s">
        <v>162</v>
      </c>
      <c r="B141" s="1" t="s">
        <v>40</v>
      </c>
      <c r="C141" s="1">
        <v>140.0</v>
      </c>
      <c r="D141" s="1">
        <v>3.907</v>
      </c>
      <c r="E141" s="1">
        <v>3.798</v>
      </c>
      <c r="F141" s="1">
        <v>4.016</v>
      </c>
      <c r="G141" s="1">
        <v>0.55604</v>
      </c>
      <c r="H141" s="1">
        <v>0.5375</v>
      </c>
      <c r="I141" s="1">
        <v>0.42494</v>
      </c>
      <c r="J141" s="1">
        <v>0.58852</v>
      </c>
      <c r="K141" s="1">
        <v>0.08092</v>
      </c>
      <c r="L141" s="1">
        <v>0.40339</v>
      </c>
      <c r="M141" s="1">
        <v>1.31573</v>
      </c>
    </row>
    <row r="142">
      <c r="A142" s="1" t="s">
        <v>163</v>
      </c>
      <c r="B142" s="1" t="s">
        <v>87</v>
      </c>
      <c r="C142" s="1">
        <v>141.0</v>
      </c>
      <c r="D142" s="1">
        <v>3.866</v>
      </c>
      <c r="E142" s="1">
        <v>3.753</v>
      </c>
      <c r="F142" s="1">
        <v>3.979</v>
      </c>
      <c r="G142" s="1">
        <v>0.84731</v>
      </c>
      <c r="H142" s="1">
        <v>0.66366</v>
      </c>
      <c r="I142" s="1">
        <v>0.04991</v>
      </c>
      <c r="J142" s="1">
        <v>0.00589</v>
      </c>
      <c r="K142" s="1">
        <v>0.08434</v>
      </c>
      <c r="L142" s="1">
        <v>0.12071</v>
      </c>
      <c r="M142" s="1">
        <v>2.09459</v>
      </c>
    </row>
    <row r="143">
      <c r="A143" s="1" t="s">
        <v>164</v>
      </c>
      <c r="B143" s="1" t="s">
        <v>87</v>
      </c>
      <c r="C143" s="1">
        <v>142.0</v>
      </c>
      <c r="D143" s="1">
        <v>3.856</v>
      </c>
      <c r="E143" s="1">
        <v>3.781</v>
      </c>
      <c r="F143" s="1">
        <v>3.931</v>
      </c>
      <c r="G143" s="1">
        <v>0.1327</v>
      </c>
      <c r="H143" s="1">
        <v>0.6053</v>
      </c>
      <c r="I143" s="1">
        <v>0.26162</v>
      </c>
      <c r="J143" s="1">
        <v>0.38041</v>
      </c>
      <c r="K143" s="1">
        <v>0.17176</v>
      </c>
      <c r="L143" s="1">
        <v>0.2097</v>
      </c>
      <c r="M143" s="1">
        <v>2.09469</v>
      </c>
    </row>
    <row r="144">
      <c r="A144" s="1" t="s">
        <v>165</v>
      </c>
      <c r="B144" s="1" t="s">
        <v>87</v>
      </c>
      <c r="C144" s="1">
        <v>143.0</v>
      </c>
      <c r="D144" s="1">
        <v>3.832</v>
      </c>
      <c r="E144" s="1">
        <v>3.596</v>
      </c>
      <c r="F144" s="1">
        <v>4.068</v>
      </c>
      <c r="G144" s="1">
        <v>0.39394</v>
      </c>
      <c r="H144" s="1">
        <v>0.18519</v>
      </c>
      <c r="I144" s="1">
        <v>0.15781</v>
      </c>
      <c r="J144" s="1">
        <v>0.19662</v>
      </c>
      <c r="K144" s="1">
        <v>0.13015</v>
      </c>
      <c r="L144" s="1">
        <v>0.25899</v>
      </c>
      <c r="M144" s="1">
        <v>2.50929</v>
      </c>
    </row>
    <row r="145">
      <c r="A145" s="1" t="s">
        <v>166</v>
      </c>
      <c r="B145" s="1" t="s">
        <v>87</v>
      </c>
      <c r="C145" s="1">
        <v>144.0</v>
      </c>
      <c r="D145" s="1">
        <v>3.763</v>
      </c>
      <c r="E145" s="1">
        <v>3.672</v>
      </c>
      <c r="F145" s="1">
        <v>3.854</v>
      </c>
      <c r="G145" s="1">
        <v>0.42214</v>
      </c>
      <c r="H145" s="1">
        <v>0.63178</v>
      </c>
      <c r="I145" s="1">
        <v>0.03824</v>
      </c>
      <c r="J145" s="1">
        <v>0.12807</v>
      </c>
      <c r="K145" s="1">
        <v>0.04952</v>
      </c>
      <c r="L145" s="1">
        <v>0.18667</v>
      </c>
      <c r="M145" s="1">
        <v>2.30637</v>
      </c>
    </row>
    <row r="146">
      <c r="A146" s="1" t="s">
        <v>167</v>
      </c>
      <c r="B146" s="1" t="s">
        <v>87</v>
      </c>
      <c r="C146" s="1">
        <v>145.0</v>
      </c>
      <c r="D146" s="1">
        <v>3.739</v>
      </c>
      <c r="E146" s="1">
        <v>3.647</v>
      </c>
      <c r="F146" s="1">
        <v>3.831</v>
      </c>
      <c r="G146" s="1">
        <v>0.31995</v>
      </c>
      <c r="H146" s="1">
        <v>0.63054</v>
      </c>
      <c r="I146" s="1">
        <v>0.21297</v>
      </c>
      <c r="J146" s="1">
        <v>0.3337</v>
      </c>
      <c r="K146" s="1">
        <v>0.12533</v>
      </c>
      <c r="L146" s="1">
        <v>0.24353</v>
      </c>
      <c r="M146" s="1">
        <v>1.87319</v>
      </c>
    </row>
    <row r="147">
      <c r="A147" s="1" t="s">
        <v>168</v>
      </c>
      <c r="B147" s="1" t="s">
        <v>87</v>
      </c>
      <c r="C147" s="1">
        <v>145.0</v>
      </c>
      <c r="D147" s="1">
        <v>3.739</v>
      </c>
      <c r="E147" s="1">
        <v>3.629</v>
      </c>
      <c r="F147" s="1">
        <v>3.849</v>
      </c>
      <c r="G147" s="1">
        <v>0.34719</v>
      </c>
      <c r="H147" s="1">
        <v>0.90981</v>
      </c>
      <c r="I147" s="1">
        <v>0.19625</v>
      </c>
      <c r="J147" s="1">
        <v>0.43653</v>
      </c>
      <c r="K147" s="1">
        <v>0.06442</v>
      </c>
      <c r="L147" s="1">
        <v>0.27102</v>
      </c>
      <c r="M147" s="1">
        <v>1.51416</v>
      </c>
    </row>
    <row r="148">
      <c r="A148" s="1" t="s">
        <v>169</v>
      </c>
      <c r="B148" s="1" t="s">
        <v>27</v>
      </c>
      <c r="C148" s="1">
        <v>147.0</v>
      </c>
      <c r="D148" s="1">
        <v>3.724</v>
      </c>
      <c r="E148" s="1">
        <v>3.621</v>
      </c>
      <c r="F148" s="1">
        <v>3.827</v>
      </c>
      <c r="G148" s="1">
        <v>0.57939</v>
      </c>
      <c r="H148" s="1">
        <v>0.47493</v>
      </c>
      <c r="I148" s="1">
        <v>0.31048</v>
      </c>
      <c r="J148" s="1">
        <v>0.2287</v>
      </c>
      <c r="K148" s="1">
        <v>0.05892</v>
      </c>
      <c r="L148" s="1">
        <v>0.09821</v>
      </c>
      <c r="M148" s="1">
        <v>1.97295</v>
      </c>
    </row>
    <row r="149">
      <c r="A149" s="1" t="s">
        <v>170</v>
      </c>
      <c r="B149" s="1" t="s">
        <v>87</v>
      </c>
      <c r="C149" s="1">
        <v>148.0</v>
      </c>
      <c r="D149" s="1">
        <v>3.695</v>
      </c>
      <c r="E149" s="1">
        <v>3.621</v>
      </c>
      <c r="F149" s="1">
        <v>3.769</v>
      </c>
      <c r="G149" s="1">
        <v>0.27954</v>
      </c>
      <c r="H149" s="1">
        <v>0.46115</v>
      </c>
      <c r="I149" s="1">
        <v>0.37109</v>
      </c>
      <c r="J149" s="1">
        <v>0.13684</v>
      </c>
      <c r="K149" s="1">
        <v>0.07506</v>
      </c>
      <c r="L149" s="1">
        <v>0.2204</v>
      </c>
      <c r="M149" s="1">
        <v>2.15075</v>
      </c>
    </row>
    <row r="150">
      <c r="A150" s="1" t="s">
        <v>171</v>
      </c>
      <c r="B150" s="1" t="s">
        <v>87</v>
      </c>
      <c r="C150" s="1">
        <v>149.0</v>
      </c>
      <c r="D150" s="1">
        <v>3.666</v>
      </c>
      <c r="E150" s="1">
        <v>3.561</v>
      </c>
      <c r="F150" s="1">
        <v>3.771</v>
      </c>
      <c r="G150" s="1">
        <v>0.47155</v>
      </c>
      <c r="H150" s="1">
        <v>0.77623</v>
      </c>
      <c r="I150" s="1">
        <v>0.357</v>
      </c>
      <c r="J150" s="1">
        <v>0.3176</v>
      </c>
      <c r="K150" s="1">
        <v>0.05099</v>
      </c>
      <c r="L150" s="1">
        <v>0.31472</v>
      </c>
      <c r="M150" s="1">
        <v>1.37769</v>
      </c>
    </row>
    <row r="151">
      <c r="A151" s="1" t="s">
        <v>172</v>
      </c>
      <c r="B151" s="1" t="s">
        <v>87</v>
      </c>
      <c r="C151" s="1">
        <v>150.0</v>
      </c>
      <c r="D151" s="1">
        <v>3.622</v>
      </c>
      <c r="E151" s="1">
        <v>3.463</v>
      </c>
      <c r="F151" s="1">
        <v>3.781</v>
      </c>
      <c r="G151" s="1">
        <v>0.10706</v>
      </c>
      <c r="H151" s="1">
        <v>0.50353</v>
      </c>
      <c r="I151" s="1">
        <v>0.23165</v>
      </c>
      <c r="J151" s="1">
        <v>0.25748</v>
      </c>
      <c r="K151" s="1">
        <v>0.04852</v>
      </c>
      <c r="L151" s="1">
        <v>0.24063</v>
      </c>
      <c r="M151" s="1">
        <v>2.23284</v>
      </c>
    </row>
    <row r="152">
      <c r="A152" s="1" t="s">
        <v>173</v>
      </c>
      <c r="B152" s="1" t="s">
        <v>87</v>
      </c>
      <c r="C152" s="1">
        <v>151.0</v>
      </c>
      <c r="D152" s="1">
        <v>3.607</v>
      </c>
      <c r="E152" s="1">
        <v>3.533</v>
      </c>
      <c r="F152" s="1">
        <v>3.681</v>
      </c>
      <c r="G152" s="1">
        <v>0.22415</v>
      </c>
      <c r="H152" s="1">
        <v>0.3109</v>
      </c>
      <c r="I152" s="1">
        <v>0.18829</v>
      </c>
      <c r="J152" s="1">
        <v>0.30953</v>
      </c>
      <c r="K152" s="1">
        <v>0.1192</v>
      </c>
      <c r="L152" s="1">
        <v>0.29914</v>
      </c>
      <c r="M152" s="1">
        <v>2.15604</v>
      </c>
    </row>
    <row r="153">
      <c r="A153" s="1" t="s">
        <v>174</v>
      </c>
      <c r="B153" s="1" t="s">
        <v>87</v>
      </c>
      <c r="C153" s="1">
        <v>152.0</v>
      </c>
      <c r="D153" s="1">
        <v>3.515</v>
      </c>
      <c r="E153" s="1">
        <v>3.444</v>
      </c>
      <c r="F153" s="1">
        <v>3.586</v>
      </c>
      <c r="G153" s="1">
        <v>0.32846</v>
      </c>
      <c r="H153" s="1">
        <v>0.61586</v>
      </c>
      <c r="I153" s="1">
        <v>0.31865</v>
      </c>
      <c r="J153" s="1">
        <v>0.5432</v>
      </c>
      <c r="K153" s="1">
        <v>0.50521</v>
      </c>
      <c r="L153" s="1">
        <v>0.23552</v>
      </c>
      <c r="M153" s="1">
        <v>0.96819</v>
      </c>
    </row>
    <row r="154">
      <c r="A154" s="1" t="s">
        <v>175</v>
      </c>
      <c r="B154" s="1" t="s">
        <v>87</v>
      </c>
      <c r="C154" s="1">
        <v>153.0</v>
      </c>
      <c r="D154" s="1">
        <v>3.484</v>
      </c>
      <c r="E154" s="1">
        <v>3.404</v>
      </c>
      <c r="F154" s="1">
        <v>3.564</v>
      </c>
      <c r="G154" s="1">
        <v>0.39499</v>
      </c>
      <c r="H154" s="1">
        <v>0.10419</v>
      </c>
      <c r="I154" s="1">
        <v>0.21028</v>
      </c>
      <c r="J154" s="1">
        <v>0.39747</v>
      </c>
      <c r="K154" s="1">
        <v>0.06681</v>
      </c>
      <c r="L154" s="1">
        <v>0.2018</v>
      </c>
      <c r="M154" s="1">
        <v>2.10812</v>
      </c>
    </row>
    <row r="155">
      <c r="A155" s="1" t="s">
        <v>176</v>
      </c>
      <c r="B155" s="1" t="s">
        <v>106</v>
      </c>
      <c r="C155" s="1">
        <v>154.0</v>
      </c>
      <c r="D155" s="1">
        <v>3.36</v>
      </c>
      <c r="E155" s="1">
        <v>3.288</v>
      </c>
      <c r="F155" s="1">
        <v>3.432</v>
      </c>
      <c r="G155" s="1">
        <v>0.38227</v>
      </c>
      <c r="H155" s="1">
        <v>0.11037</v>
      </c>
      <c r="I155" s="1">
        <v>0.17344</v>
      </c>
      <c r="J155" s="1">
        <v>0.1643</v>
      </c>
      <c r="K155" s="1">
        <v>0.07112</v>
      </c>
      <c r="L155" s="1">
        <v>0.31268</v>
      </c>
      <c r="M155" s="1">
        <v>2.14558</v>
      </c>
    </row>
    <row r="156">
      <c r="A156" s="1" t="s">
        <v>177</v>
      </c>
      <c r="B156" s="1" t="s">
        <v>87</v>
      </c>
      <c r="C156" s="1">
        <v>155.0</v>
      </c>
      <c r="D156" s="1">
        <v>3.303</v>
      </c>
      <c r="E156" s="1">
        <v>3.192</v>
      </c>
      <c r="F156" s="1">
        <v>3.414</v>
      </c>
      <c r="G156" s="1">
        <v>0.28123</v>
      </c>
      <c r="H156" s="1">
        <v>0.0</v>
      </c>
      <c r="I156" s="1">
        <v>0.24811</v>
      </c>
      <c r="J156" s="1">
        <v>0.34678</v>
      </c>
      <c r="K156" s="1">
        <v>0.11587</v>
      </c>
      <c r="L156" s="1">
        <v>0.17517</v>
      </c>
      <c r="M156" s="1">
        <v>2.1354</v>
      </c>
    </row>
    <row r="157">
      <c r="A157" s="1" t="s">
        <v>178</v>
      </c>
      <c r="B157" s="1" t="s">
        <v>27</v>
      </c>
      <c r="C157" s="1">
        <v>156.0</v>
      </c>
      <c r="D157" s="1">
        <v>3.069</v>
      </c>
      <c r="E157" s="1">
        <v>2.936</v>
      </c>
      <c r="F157" s="1">
        <v>3.202</v>
      </c>
      <c r="G157" s="1">
        <v>0.74719</v>
      </c>
      <c r="H157" s="1">
        <v>0.14866</v>
      </c>
      <c r="I157" s="1">
        <v>0.62994</v>
      </c>
      <c r="J157" s="1">
        <v>0.06912</v>
      </c>
      <c r="K157" s="1">
        <v>0.17233</v>
      </c>
      <c r="L157" s="1">
        <v>0.48397</v>
      </c>
      <c r="M157" s="1">
        <v>0.81789</v>
      </c>
    </row>
    <row r="158">
      <c r="A158" s="1" t="s">
        <v>179</v>
      </c>
      <c r="B158" s="1" t="s">
        <v>87</v>
      </c>
      <c r="C158" s="1">
        <v>157.0</v>
      </c>
      <c r="D158" s="1">
        <v>2.905</v>
      </c>
      <c r="E158" s="1">
        <v>2.732</v>
      </c>
      <c r="F158" s="1">
        <v>3.078</v>
      </c>
      <c r="G158" s="1">
        <v>0.06831</v>
      </c>
      <c r="H158" s="1">
        <v>0.23442</v>
      </c>
      <c r="I158" s="1">
        <v>0.15747</v>
      </c>
      <c r="J158" s="1">
        <v>0.0432</v>
      </c>
      <c r="K158" s="1">
        <v>0.09419</v>
      </c>
      <c r="L158" s="1">
        <v>0.2029</v>
      </c>
      <c r="M158" s="1">
        <v>2.10404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1.0</v>
      </c>
      <c r="D2" s="1">
        <v>7.526</v>
      </c>
      <c r="E2" s="1">
        <v>7.46</v>
      </c>
      <c r="F2" s="1">
        <v>7.592</v>
      </c>
      <c r="G2" s="1">
        <v>1.44178</v>
      </c>
      <c r="H2" s="1">
        <v>1.16374</v>
      </c>
      <c r="I2" s="1">
        <v>0.79504</v>
      </c>
      <c r="J2" s="1">
        <v>0.57941</v>
      </c>
      <c r="K2" s="1">
        <v>0.44453</v>
      </c>
      <c r="L2" s="1">
        <v>0.36171</v>
      </c>
      <c r="M2" s="1">
        <v>2.73939</v>
      </c>
    </row>
    <row r="3">
      <c r="A3" s="1" t="s">
        <v>15</v>
      </c>
      <c r="B3" s="1" t="s">
        <v>14</v>
      </c>
      <c r="C3" s="1">
        <v>2.0</v>
      </c>
      <c r="D3" s="1">
        <v>7.509</v>
      </c>
      <c r="E3" s="1">
        <v>7.428</v>
      </c>
      <c r="F3" s="1">
        <v>7.59</v>
      </c>
      <c r="G3" s="1">
        <v>1.52733</v>
      </c>
      <c r="H3" s="1">
        <v>1.14524</v>
      </c>
      <c r="I3" s="1">
        <v>0.86303</v>
      </c>
      <c r="J3" s="1">
        <v>0.58557</v>
      </c>
      <c r="K3" s="1">
        <v>0.41203</v>
      </c>
      <c r="L3" s="1">
        <v>0.28083</v>
      </c>
      <c r="M3" s="1">
        <v>2.69463</v>
      </c>
    </row>
    <row r="4">
      <c r="A4" s="1" t="s">
        <v>16</v>
      </c>
      <c r="B4" s="1" t="s">
        <v>14</v>
      </c>
      <c r="C4" s="1">
        <v>3.0</v>
      </c>
      <c r="D4" s="1">
        <v>7.501</v>
      </c>
      <c r="E4" s="1">
        <v>7.333</v>
      </c>
      <c r="F4" s="1">
        <v>7.669</v>
      </c>
      <c r="G4" s="1">
        <v>1.42666</v>
      </c>
      <c r="H4" s="1">
        <v>1.18326</v>
      </c>
      <c r="I4" s="1">
        <v>0.86733</v>
      </c>
      <c r="J4" s="1">
        <v>0.56624</v>
      </c>
      <c r="K4" s="1">
        <v>0.14975</v>
      </c>
      <c r="L4" s="1">
        <v>0.47678</v>
      </c>
      <c r="M4" s="1">
        <v>2.83137</v>
      </c>
    </row>
    <row r="5">
      <c r="A5" s="1" t="s">
        <v>17</v>
      </c>
      <c r="B5" s="1" t="s">
        <v>14</v>
      </c>
      <c r="C5" s="1">
        <v>4.0</v>
      </c>
      <c r="D5" s="1">
        <v>7.498</v>
      </c>
      <c r="E5" s="1">
        <v>7.421</v>
      </c>
      <c r="F5" s="1">
        <v>7.575</v>
      </c>
      <c r="G5" s="1">
        <v>1.57744</v>
      </c>
      <c r="H5" s="1">
        <v>1.1269</v>
      </c>
      <c r="I5" s="1">
        <v>0.79579</v>
      </c>
      <c r="J5" s="1">
        <v>0.59609</v>
      </c>
      <c r="K5" s="1">
        <v>0.35776</v>
      </c>
      <c r="L5" s="1">
        <v>0.37895</v>
      </c>
      <c r="M5" s="1">
        <v>2.66465</v>
      </c>
    </row>
    <row r="6">
      <c r="A6" s="1" t="s">
        <v>18</v>
      </c>
      <c r="B6" s="1" t="s">
        <v>14</v>
      </c>
      <c r="C6" s="1">
        <v>5.0</v>
      </c>
      <c r="D6" s="1">
        <v>7.413</v>
      </c>
      <c r="E6" s="1">
        <v>7.351</v>
      </c>
      <c r="F6" s="1">
        <v>7.475</v>
      </c>
      <c r="G6" s="1">
        <v>1.40598</v>
      </c>
      <c r="H6" s="1">
        <v>1.13464</v>
      </c>
      <c r="I6" s="1">
        <v>0.81091</v>
      </c>
      <c r="J6" s="1">
        <v>0.57104</v>
      </c>
      <c r="K6" s="1">
        <v>0.41004</v>
      </c>
      <c r="L6" s="1">
        <v>0.25492</v>
      </c>
      <c r="M6" s="1">
        <v>2.82596</v>
      </c>
    </row>
    <row r="7">
      <c r="A7" s="1" t="s">
        <v>19</v>
      </c>
      <c r="B7" s="1" t="s">
        <v>20</v>
      </c>
      <c r="C7" s="1">
        <v>6.0</v>
      </c>
      <c r="D7" s="1">
        <v>7.404</v>
      </c>
      <c r="E7" s="1">
        <v>7.335</v>
      </c>
      <c r="F7" s="1">
        <v>7.473</v>
      </c>
      <c r="G7" s="1">
        <v>1.44015</v>
      </c>
      <c r="H7" s="1">
        <v>1.0961</v>
      </c>
      <c r="I7" s="1">
        <v>0.8276</v>
      </c>
      <c r="J7" s="1">
        <v>0.5737</v>
      </c>
      <c r="K7" s="1">
        <v>0.31329</v>
      </c>
      <c r="L7" s="1">
        <v>0.44834</v>
      </c>
      <c r="M7" s="1">
        <v>2.70485</v>
      </c>
    </row>
    <row r="8">
      <c r="A8" s="1" t="s">
        <v>21</v>
      </c>
      <c r="B8" s="1" t="s">
        <v>14</v>
      </c>
      <c r="C8" s="1">
        <v>7.0</v>
      </c>
      <c r="D8" s="1">
        <v>7.339</v>
      </c>
      <c r="E8" s="1">
        <v>7.284</v>
      </c>
      <c r="F8" s="1">
        <v>7.394</v>
      </c>
      <c r="G8" s="1">
        <v>1.46468</v>
      </c>
      <c r="H8" s="1">
        <v>1.02912</v>
      </c>
      <c r="I8" s="1">
        <v>0.81231</v>
      </c>
      <c r="J8" s="1">
        <v>0.55211</v>
      </c>
      <c r="K8" s="1">
        <v>0.29927</v>
      </c>
      <c r="L8" s="1">
        <v>0.47416</v>
      </c>
      <c r="M8" s="1">
        <v>2.70749</v>
      </c>
    </row>
    <row r="9">
      <c r="A9" s="1" t="s">
        <v>22</v>
      </c>
      <c r="B9" s="1" t="s">
        <v>23</v>
      </c>
      <c r="C9" s="1">
        <v>8.0</v>
      </c>
      <c r="D9" s="1">
        <v>7.334</v>
      </c>
      <c r="E9" s="1">
        <v>7.264</v>
      </c>
      <c r="F9" s="1">
        <v>7.404</v>
      </c>
      <c r="G9" s="1">
        <v>1.36066</v>
      </c>
      <c r="H9" s="1">
        <v>1.17278</v>
      </c>
      <c r="I9" s="1">
        <v>0.83096</v>
      </c>
      <c r="J9" s="1">
        <v>0.58147</v>
      </c>
      <c r="K9" s="1">
        <v>0.41904</v>
      </c>
      <c r="L9" s="1">
        <v>0.49401</v>
      </c>
      <c r="M9" s="1">
        <v>2.47553</v>
      </c>
    </row>
    <row r="10">
      <c r="A10" s="1" t="s">
        <v>24</v>
      </c>
      <c r="B10" s="1" t="s">
        <v>23</v>
      </c>
      <c r="C10" s="1">
        <v>9.0</v>
      </c>
      <c r="D10" s="1">
        <v>7.313</v>
      </c>
      <c r="E10" s="1">
        <v>7.241</v>
      </c>
      <c r="F10" s="1">
        <v>7.385</v>
      </c>
      <c r="G10" s="1">
        <v>1.44443</v>
      </c>
      <c r="H10" s="1">
        <v>1.10476</v>
      </c>
      <c r="I10" s="1">
        <v>0.8512</v>
      </c>
      <c r="J10" s="1">
        <v>0.56837</v>
      </c>
      <c r="K10" s="1">
        <v>0.32331</v>
      </c>
      <c r="L10" s="1">
        <v>0.47407</v>
      </c>
      <c r="M10" s="1">
        <v>2.5465</v>
      </c>
    </row>
    <row r="11">
      <c r="A11" s="1" t="s">
        <v>25</v>
      </c>
      <c r="B11" s="1" t="s">
        <v>14</v>
      </c>
      <c r="C11" s="1">
        <v>10.0</v>
      </c>
      <c r="D11" s="1">
        <v>7.291</v>
      </c>
      <c r="E11" s="1">
        <v>7.227</v>
      </c>
      <c r="F11" s="1">
        <v>7.355</v>
      </c>
      <c r="G11" s="1">
        <v>1.45181</v>
      </c>
      <c r="H11" s="1">
        <v>1.08764</v>
      </c>
      <c r="I11" s="1">
        <v>0.83121</v>
      </c>
      <c r="J11" s="1">
        <v>0.58218</v>
      </c>
      <c r="K11" s="1">
        <v>0.40867</v>
      </c>
      <c r="L11" s="1">
        <v>0.38254</v>
      </c>
      <c r="M11" s="1">
        <v>2.54734</v>
      </c>
    </row>
    <row r="12">
      <c r="A12" s="1" t="s">
        <v>26</v>
      </c>
      <c r="B12" s="1" t="s">
        <v>27</v>
      </c>
      <c r="C12" s="1">
        <v>11.0</v>
      </c>
      <c r="D12" s="1">
        <v>7.267</v>
      </c>
      <c r="E12" s="1">
        <v>7.199</v>
      </c>
      <c r="F12" s="1">
        <v>7.335</v>
      </c>
      <c r="G12" s="1">
        <v>1.33766</v>
      </c>
      <c r="H12" s="1">
        <v>0.99537</v>
      </c>
      <c r="I12" s="1">
        <v>0.84917</v>
      </c>
      <c r="J12" s="1">
        <v>0.36432</v>
      </c>
      <c r="K12" s="1">
        <v>0.08728</v>
      </c>
      <c r="L12" s="1">
        <v>0.32288</v>
      </c>
      <c r="M12" s="1">
        <v>3.31029</v>
      </c>
    </row>
    <row r="13">
      <c r="A13" s="1" t="s">
        <v>28</v>
      </c>
      <c r="B13" s="1" t="s">
        <v>14</v>
      </c>
      <c r="C13" s="1">
        <v>12.0</v>
      </c>
      <c r="D13" s="1">
        <v>7.119</v>
      </c>
      <c r="E13" s="1">
        <v>7.045</v>
      </c>
      <c r="F13" s="1">
        <v>7.193</v>
      </c>
      <c r="G13" s="1">
        <v>1.45038</v>
      </c>
      <c r="H13" s="1">
        <v>1.08383</v>
      </c>
      <c r="I13" s="1">
        <v>0.80565</v>
      </c>
      <c r="J13" s="1">
        <v>0.54355</v>
      </c>
      <c r="K13" s="1">
        <v>0.21348</v>
      </c>
      <c r="L13" s="1">
        <v>0.32865</v>
      </c>
      <c r="M13" s="1">
        <v>2.69343</v>
      </c>
    </row>
    <row r="14">
      <c r="A14" s="1" t="s">
        <v>29</v>
      </c>
      <c r="B14" s="1" t="s">
        <v>20</v>
      </c>
      <c r="C14" s="1">
        <v>13.0</v>
      </c>
      <c r="D14" s="1">
        <v>7.104</v>
      </c>
      <c r="E14" s="1">
        <v>7.02</v>
      </c>
      <c r="F14" s="1">
        <v>7.188</v>
      </c>
      <c r="G14" s="1">
        <v>1.50796</v>
      </c>
      <c r="H14" s="1">
        <v>1.04782</v>
      </c>
      <c r="I14" s="1">
        <v>0.779</v>
      </c>
      <c r="J14" s="1">
        <v>0.48163</v>
      </c>
      <c r="K14" s="1">
        <v>0.14868</v>
      </c>
      <c r="L14" s="1">
        <v>0.41077</v>
      </c>
      <c r="M14" s="1">
        <v>2.72782</v>
      </c>
    </row>
    <row r="15">
      <c r="A15" s="1" t="s">
        <v>30</v>
      </c>
      <c r="B15" s="1" t="s">
        <v>31</v>
      </c>
      <c r="C15" s="1">
        <v>14.0</v>
      </c>
      <c r="D15" s="1">
        <v>7.087</v>
      </c>
      <c r="E15" s="1">
        <v>6.999</v>
      </c>
      <c r="F15" s="1">
        <v>7.175</v>
      </c>
      <c r="G15" s="1">
        <v>1.06879</v>
      </c>
      <c r="H15" s="1">
        <v>1.02152</v>
      </c>
      <c r="I15" s="1">
        <v>0.76146</v>
      </c>
      <c r="J15" s="1">
        <v>0.55225</v>
      </c>
      <c r="K15" s="1">
        <v>0.10547</v>
      </c>
      <c r="L15" s="1">
        <v>0.22553</v>
      </c>
      <c r="M15" s="1">
        <v>3.35168</v>
      </c>
    </row>
    <row r="16">
      <c r="A16" s="1" t="s">
        <v>32</v>
      </c>
      <c r="B16" s="1" t="s">
        <v>31</v>
      </c>
      <c r="C16" s="1">
        <v>15.0</v>
      </c>
      <c r="D16" s="1">
        <v>7.039</v>
      </c>
      <c r="E16" s="1">
        <v>6.794</v>
      </c>
      <c r="F16" s="1">
        <v>7.284</v>
      </c>
      <c r="G16" s="1">
        <v>1.35943</v>
      </c>
      <c r="H16" s="1">
        <v>1.08113</v>
      </c>
      <c r="I16" s="1">
        <v>0.77758</v>
      </c>
      <c r="J16" s="1">
        <v>0.46823</v>
      </c>
      <c r="K16" s="1">
        <v>0.12275</v>
      </c>
      <c r="L16" s="1">
        <v>0.22202</v>
      </c>
      <c r="M16" s="1">
        <v>3.0076</v>
      </c>
    </row>
    <row r="17">
      <c r="A17" s="1" t="s">
        <v>33</v>
      </c>
      <c r="B17" s="1" t="s">
        <v>14</v>
      </c>
      <c r="C17" s="1">
        <v>16.0</v>
      </c>
      <c r="D17" s="1">
        <v>6.994</v>
      </c>
      <c r="E17" s="1">
        <v>6.93</v>
      </c>
      <c r="F17" s="1">
        <v>7.058</v>
      </c>
      <c r="G17" s="1">
        <v>1.44787</v>
      </c>
      <c r="H17" s="1">
        <v>1.09774</v>
      </c>
      <c r="I17" s="1">
        <v>0.81487</v>
      </c>
      <c r="J17" s="1">
        <v>0.53466</v>
      </c>
      <c r="K17" s="1">
        <v>0.28551</v>
      </c>
      <c r="L17" s="1">
        <v>0.30452</v>
      </c>
      <c r="M17" s="1">
        <v>2.50931</v>
      </c>
    </row>
    <row r="18">
      <c r="A18" s="1" t="s">
        <v>34</v>
      </c>
      <c r="B18" s="1" t="s">
        <v>31</v>
      </c>
      <c r="C18" s="1">
        <v>17.0</v>
      </c>
      <c r="D18" s="1">
        <v>6.952</v>
      </c>
      <c r="E18" s="1">
        <v>6.875</v>
      </c>
      <c r="F18" s="1">
        <v>7.029</v>
      </c>
      <c r="G18" s="1">
        <v>1.08754</v>
      </c>
      <c r="H18" s="1">
        <v>1.03938</v>
      </c>
      <c r="I18" s="1">
        <v>0.61415</v>
      </c>
      <c r="J18" s="1">
        <v>0.40425</v>
      </c>
      <c r="K18" s="1">
        <v>0.14166</v>
      </c>
      <c r="L18" s="1">
        <v>0.15776</v>
      </c>
      <c r="M18" s="1">
        <v>3.50733</v>
      </c>
    </row>
    <row r="19">
      <c r="A19" s="1" t="s">
        <v>35</v>
      </c>
      <c r="B19" s="1" t="s">
        <v>14</v>
      </c>
      <c r="C19" s="1">
        <v>18.0</v>
      </c>
      <c r="D19" s="1">
        <v>6.929</v>
      </c>
      <c r="E19" s="1">
        <v>6.861</v>
      </c>
      <c r="F19" s="1">
        <v>6.997</v>
      </c>
      <c r="G19" s="1">
        <v>1.42539</v>
      </c>
      <c r="H19" s="1">
        <v>1.05249</v>
      </c>
      <c r="I19" s="1">
        <v>0.81959</v>
      </c>
      <c r="J19" s="1">
        <v>0.51354</v>
      </c>
      <c r="K19" s="1">
        <v>0.26248</v>
      </c>
      <c r="L19" s="1">
        <v>0.2424</v>
      </c>
      <c r="M19" s="1">
        <v>2.61355</v>
      </c>
    </row>
    <row r="20">
      <c r="A20" s="1" t="s">
        <v>36</v>
      </c>
      <c r="B20" s="1" t="s">
        <v>14</v>
      </c>
      <c r="C20" s="1">
        <v>19.0</v>
      </c>
      <c r="D20" s="1">
        <v>6.907</v>
      </c>
      <c r="E20" s="1">
        <v>6.836</v>
      </c>
      <c r="F20" s="1">
        <v>6.978</v>
      </c>
      <c r="G20" s="1">
        <v>1.48341</v>
      </c>
      <c r="H20" s="1">
        <v>1.16157</v>
      </c>
      <c r="I20" s="1">
        <v>0.81455</v>
      </c>
      <c r="J20" s="1">
        <v>0.54008</v>
      </c>
      <c r="K20" s="1">
        <v>0.29754</v>
      </c>
      <c r="L20" s="1">
        <v>0.44963</v>
      </c>
      <c r="M20" s="1">
        <v>2.15988</v>
      </c>
    </row>
    <row r="21">
      <c r="A21" s="1" t="s">
        <v>37</v>
      </c>
      <c r="B21" s="1" t="s">
        <v>14</v>
      </c>
      <c r="C21" s="1">
        <v>20.0</v>
      </c>
      <c r="D21" s="1">
        <v>6.871</v>
      </c>
      <c r="E21" s="1">
        <v>6.804</v>
      </c>
      <c r="F21" s="1">
        <v>6.938</v>
      </c>
      <c r="G21" s="1">
        <v>1.69752</v>
      </c>
      <c r="H21" s="1">
        <v>1.03999</v>
      </c>
      <c r="I21" s="1">
        <v>0.84542</v>
      </c>
      <c r="J21" s="1">
        <v>0.5487</v>
      </c>
      <c r="K21" s="1">
        <v>0.35329</v>
      </c>
      <c r="L21" s="1">
        <v>0.27571</v>
      </c>
      <c r="M21" s="1">
        <v>2.11055</v>
      </c>
    </row>
    <row r="22">
      <c r="A22" s="1" t="s">
        <v>38</v>
      </c>
      <c r="B22" s="1" t="s">
        <v>31</v>
      </c>
      <c r="C22" s="1">
        <v>21.0</v>
      </c>
      <c r="D22" s="1">
        <v>6.778</v>
      </c>
      <c r="E22" s="1">
        <v>6.68</v>
      </c>
      <c r="F22" s="1">
        <v>6.876</v>
      </c>
      <c r="G22" s="1">
        <v>1.11508</v>
      </c>
      <c r="H22" s="1">
        <v>0.7146</v>
      </c>
      <c r="I22" s="1">
        <v>0.71143</v>
      </c>
      <c r="J22" s="1">
        <v>0.37709</v>
      </c>
      <c r="K22" s="1">
        <v>0.18355</v>
      </c>
      <c r="L22" s="1">
        <v>0.11735</v>
      </c>
      <c r="M22" s="1">
        <v>3.55906</v>
      </c>
    </row>
    <row r="23">
      <c r="A23" s="1" t="s">
        <v>39</v>
      </c>
      <c r="B23" s="1" t="s">
        <v>40</v>
      </c>
      <c r="C23" s="1">
        <v>22.0</v>
      </c>
      <c r="D23" s="1">
        <v>6.739</v>
      </c>
      <c r="E23" s="1">
        <v>6.674</v>
      </c>
      <c r="F23" s="1">
        <v>6.804</v>
      </c>
      <c r="G23" s="1">
        <v>1.64555</v>
      </c>
      <c r="H23" s="1">
        <v>0.86758</v>
      </c>
      <c r="I23" s="1">
        <v>0.94719</v>
      </c>
      <c r="J23" s="1">
        <v>0.4877</v>
      </c>
      <c r="K23" s="1">
        <v>0.46987</v>
      </c>
      <c r="L23" s="1">
        <v>0.32706</v>
      </c>
      <c r="M23" s="1">
        <v>1.99375</v>
      </c>
    </row>
    <row r="24">
      <c r="A24" s="1" t="s">
        <v>41</v>
      </c>
      <c r="B24" s="1" t="s">
        <v>14</v>
      </c>
      <c r="C24" s="1">
        <v>23.0</v>
      </c>
      <c r="D24" s="1">
        <v>6.725</v>
      </c>
      <c r="E24" s="1">
        <v>6.647</v>
      </c>
      <c r="F24" s="1">
        <v>6.803</v>
      </c>
      <c r="G24" s="1">
        <v>1.40283</v>
      </c>
      <c r="H24" s="1">
        <v>1.08672</v>
      </c>
      <c r="I24" s="1">
        <v>0.80991</v>
      </c>
      <c r="J24" s="1">
        <v>0.50036</v>
      </c>
      <c r="K24" s="1">
        <v>0.27399</v>
      </c>
      <c r="L24" s="1">
        <v>0.50156</v>
      </c>
      <c r="M24" s="1">
        <v>2.14999</v>
      </c>
    </row>
    <row r="25">
      <c r="A25" s="1" t="s">
        <v>42</v>
      </c>
      <c r="B25" s="1" t="s">
        <v>31</v>
      </c>
      <c r="C25" s="1">
        <v>24.0</v>
      </c>
      <c r="D25" s="1">
        <v>6.705</v>
      </c>
      <c r="E25" s="1">
        <v>6.615</v>
      </c>
      <c r="F25" s="1">
        <v>6.795</v>
      </c>
      <c r="G25" s="1">
        <v>1.2167</v>
      </c>
      <c r="H25" s="1">
        <v>0.90587</v>
      </c>
      <c r="I25" s="1">
        <v>0.81883</v>
      </c>
      <c r="J25" s="1">
        <v>0.37789</v>
      </c>
      <c r="K25" s="1">
        <v>0.11451</v>
      </c>
      <c r="L25" s="1">
        <v>0.31595</v>
      </c>
      <c r="M25" s="1">
        <v>2.95505</v>
      </c>
    </row>
    <row r="26">
      <c r="A26" s="1" t="s">
        <v>43</v>
      </c>
      <c r="B26" s="1" t="s">
        <v>31</v>
      </c>
      <c r="C26" s="1">
        <v>25.0</v>
      </c>
      <c r="D26" s="1">
        <v>6.701</v>
      </c>
      <c r="E26" s="1">
        <v>6.601</v>
      </c>
      <c r="F26" s="1">
        <v>6.801</v>
      </c>
      <c r="G26" s="1">
        <v>1.18306</v>
      </c>
      <c r="H26" s="1">
        <v>0.98912</v>
      </c>
      <c r="I26" s="1">
        <v>0.70835</v>
      </c>
      <c r="J26" s="1">
        <v>0.48927</v>
      </c>
      <c r="K26" s="1">
        <v>0.08423</v>
      </c>
      <c r="L26" s="1">
        <v>0.2418</v>
      </c>
      <c r="M26" s="1">
        <v>3.00559</v>
      </c>
    </row>
    <row r="27">
      <c r="A27" s="1" t="s">
        <v>44</v>
      </c>
      <c r="B27" s="1" t="s">
        <v>31</v>
      </c>
      <c r="C27" s="1">
        <v>26.0</v>
      </c>
      <c r="D27" s="1">
        <v>6.65</v>
      </c>
      <c r="E27" s="1">
        <v>6.56</v>
      </c>
      <c r="F27" s="1">
        <v>6.74</v>
      </c>
      <c r="G27" s="1">
        <v>1.15137</v>
      </c>
      <c r="H27" s="1">
        <v>1.06612</v>
      </c>
      <c r="I27" s="1">
        <v>0.69711</v>
      </c>
      <c r="J27" s="1">
        <v>0.42284</v>
      </c>
      <c r="K27" s="1">
        <v>0.07296</v>
      </c>
      <c r="L27" s="1">
        <v>0.10989</v>
      </c>
      <c r="M27" s="1">
        <v>3.12985</v>
      </c>
    </row>
    <row r="28">
      <c r="A28" s="1" t="s">
        <v>45</v>
      </c>
      <c r="B28" s="1" t="s">
        <v>46</v>
      </c>
      <c r="C28" s="1">
        <v>27.0</v>
      </c>
      <c r="D28" s="1">
        <v>6.596</v>
      </c>
      <c r="E28" s="1">
        <v>6.515</v>
      </c>
      <c r="F28" s="1">
        <v>6.677</v>
      </c>
      <c r="G28" s="1">
        <v>1.30915</v>
      </c>
      <c r="H28" s="1">
        <v>1.00793</v>
      </c>
      <c r="I28" s="1">
        <v>0.76376</v>
      </c>
      <c r="J28" s="1">
        <v>0.41418</v>
      </c>
      <c r="K28" s="1">
        <v>0.03986</v>
      </c>
      <c r="L28" s="1">
        <v>0.09929</v>
      </c>
      <c r="M28" s="1">
        <v>2.96211</v>
      </c>
    </row>
    <row r="29">
      <c r="A29" s="1" t="s">
        <v>47</v>
      </c>
      <c r="B29" s="1" t="s">
        <v>27</v>
      </c>
      <c r="C29" s="1">
        <v>28.0</v>
      </c>
      <c r="D29" s="1">
        <v>6.573</v>
      </c>
      <c r="E29" s="1">
        <v>6.494</v>
      </c>
      <c r="F29" s="1">
        <v>6.652</v>
      </c>
      <c r="G29" s="1">
        <v>1.57352</v>
      </c>
      <c r="H29" s="1">
        <v>0.87114</v>
      </c>
      <c r="I29" s="1">
        <v>0.72993</v>
      </c>
      <c r="J29" s="1">
        <v>0.56215</v>
      </c>
      <c r="K29" s="1">
        <v>0.35561</v>
      </c>
      <c r="L29" s="1">
        <v>0.26591</v>
      </c>
      <c r="M29" s="1">
        <v>2.21507</v>
      </c>
    </row>
    <row r="30">
      <c r="A30" s="1" t="s">
        <v>48</v>
      </c>
      <c r="B30" s="1" t="s">
        <v>31</v>
      </c>
      <c r="C30" s="1">
        <v>29.0</v>
      </c>
      <c r="D30" s="1">
        <v>6.545</v>
      </c>
      <c r="E30" s="1">
        <v>6.456</v>
      </c>
      <c r="F30" s="1">
        <v>6.634</v>
      </c>
      <c r="G30" s="1">
        <v>1.18157</v>
      </c>
      <c r="H30" s="1">
        <v>1.03143</v>
      </c>
      <c r="I30" s="1">
        <v>0.72183</v>
      </c>
      <c r="J30" s="1">
        <v>0.54388</v>
      </c>
      <c r="K30" s="1">
        <v>0.21394</v>
      </c>
      <c r="L30" s="1">
        <v>0.18056</v>
      </c>
      <c r="M30" s="1">
        <v>2.67139</v>
      </c>
    </row>
    <row r="31">
      <c r="A31" s="1" t="s">
        <v>49</v>
      </c>
      <c r="B31" s="1" t="s">
        <v>14</v>
      </c>
      <c r="C31" s="1">
        <v>30.0</v>
      </c>
      <c r="D31" s="1">
        <v>6.488</v>
      </c>
      <c r="E31" s="1">
        <v>6.409</v>
      </c>
      <c r="F31" s="1">
        <v>6.567</v>
      </c>
      <c r="G31" s="1">
        <v>1.30782</v>
      </c>
      <c r="H31" s="1">
        <v>1.09879</v>
      </c>
      <c r="I31" s="1">
        <v>0.80315</v>
      </c>
      <c r="J31" s="1">
        <v>0.54994</v>
      </c>
      <c r="K31" s="1">
        <v>0.17554</v>
      </c>
      <c r="L31" s="1">
        <v>0.56237</v>
      </c>
      <c r="M31" s="1">
        <v>1.99032</v>
      </c>
    </row>
    <row r="32">
      <c r="A32" s="1" t="s">
        <v>50</v>
      </c>
      <c r="B32" s="1" t="s">
        <v>31</v>
      </c>
      <c r="C32" s="1">
        <v>31.0</v>
      </c>
      <c r="D32" s="1">
        <v>6.481</v>
      </c>
      <c r="E32" s="1">
        <v>6.384</v>
      </c>
      <c r="F32" s="1">
        <v>6.578</v>
      </c>
      <c r="G32" s="1">
        <v>1.03032</v>
      </c>
      <c r="H32" s="1">
        <v>1.02169</v>
      </c>
      <c r="I32" s="1">
        <v>0.59659</v>
      </c>
      <c r="J32" s="1">
        <v>0.44735</v>
      </c>
      <c r="K32" s="1">
        <v>0.05399</v>
      </c>
      <c r="L32" s="1">
        <v>0.15626</v>
      </c>
      <c r="M32" s="1">
        <v>3.17471</v>
      </c>
    </row>
    <row r="33">
      <c r="A33" s="1" t="s">
        <v>51</v>
      </c>
      <c r="B33" s="1" t="s">
        <v>14</v>
      </c>
      <c r="C33" s="1">
        <v>32.0</v>
      </c>
      <c r="D33" s="1">
        <v>6.478</v>
      </c>
      <c r="E33" s="1">
        <v>6.397</v>
      </c>
      <c r="F33" s="1">
        <v>6.559</v>
      </c>
      <c r="G33" s="1">
        <v>1.39488</v>
      </c>
      <c r="H33" s="1">
        <v>1.00508</v>
      </c>
      <c r="I33" s="1">
        <v>0.83795</v>
      </c>
      <c r="J33" s="1">
        <v>0.46562</v>
      </c>
      <c r="K33" s="1">
        <v>0.17808</v>
      </c>
      <c r="L33" s="1">
        <v>0.1216</v>
      </c>
      <c r="M33" s="1">
        <v>2.4744</v>
      </c>
    </row>
    <row r="34">
      <c r="A34" s="1" t="s">
        <v>52</v>
      </c>
      <c r="B34" s="1" t="s">
        <v>40</v>
      </c>
      <c r="C34" s="1">
        <v>33.0</v>
      </c>
      <c r="D34" s="1">
        <v>6.474</v>
      </c>
      <c r="E34" s="1">
        <v>6.396</v>
      </c>
      <c r="F34" s="1">
        <v>6.552</v>
      </c>
      <c r="G34" s="1">
        <v>1.0893</v>
      </c>
      <c r="H34" s="1">
        <v>1.04477</v>
      </c>
      <c r="I34" s="1">
        <v>0.64915</v>
      </c>
      <c r="J34" s="1">
        <v>0.49553</v>
      </c>
      <c r="K34" s="1">
        <v>0.02833</v>
      </c>
      <c r="L34" s="1">
        <v>0.58696</v>
      </c>
      <c r="M34" s="1">
        <v>2.5796</v>
      </c>
    </row>
    <row r="35">
      <c r="A35" s="1" t="s">
        <v>53</v>
      </c>
      <c r="B35" s="1" t="s">
        <v>27</v>
      </c>
      <c r="C35" s="1">
        <v>34.0</v>
      </c>
      <c r="D35" s="1">
        <v>6.379</v>
      </c>
      <c r="E35" s="1">
        <v>6.287</v>
      </c>
      <c r="F35" s="1">
        <v>6.471</v>
      </c>
      <c r="G35" s="1">
        <v>1.48953</v>
      </c>
      <c r="H35" s="1">
        <v>0.84829</v>
      </c>
      <c r="I35" s="1">
        <v>0.59267</v>
      </c>
      <c r="J35" s="1">
        <v>0.37904</v>
      </c>
      <c r="K35" s="1">
        <v>0.30008</v>
      </c>
      <c r="L35" s="1">
        <v>0.15457</v>
      </c>
      <c r="M35" s="1">
        <v>2.61482</v>
      </c>
    </row>
    <row r="36">
      <c r="A36" s="1" t="s">
        <v>54</v>
      </c>
      <c r="B36" s="1" t="s">
        <v>55</v>
      </c>
      <c r="C36" s="1">
        <v>34.0</v>
      </c>
      <c r="D36" s="1">
        <v>6.379</v>
      </c>
      <c r="E36" s="1">
        <v>6.305</v>
      </c>
      <c r="F36" s="1">
        <v>6.453</v>
      </c>
      <c r="G36" s="1">
        <v>1.39729</v>
      </c>
      <c r="H36" s="1">
        <v>0.92624</v>
      </c>
      <c r="I36" s="1">
        <v>0.79565</v>
      </c>
      <c r="J36" s="1">
        <v>0.32377</v>
      </c>
      <c r="K36" s="1">
        <v>0.0663</v>
      </c>
      <c r="L36" s="1">
        <v>0.25495</v>
      </c>
      <c r="M36" s="1">
        <v>2.61523</v>
      </c>
    </row>
    <row r="37">
      <c r="A37" s="1" t="s">
        <v>56</v>
      </c>
      <c r="B37" s="1" t="s">
        <v>27</v>
      </c>
      <c r="C37" s="1">
        <v>36.0</v>
      </c>
      <c r="D37" s="1">
        <v>6.375</v>
      </c>
      <c r="E37" s="1">
        <v>6.178</v>
      </c>
      <c r="F37" s="1">
        <v>6.572</v>
      </c>
      <c r="G37" s="1">
        <v>1.82427</v>
      </c>
      <c r="H37" s="1">
        <v>0.87964</v>
      </c>
      <c r="I37" s="1">
        <v>0.71723</v>
      </c>
      <c r="J37" s="1">
        <v>0.56679</v>
      </c>
      <c r="K37" s="1">
        <v>0.48049</v>
      </c>
      <c r="L37" s="1">
        <v>0.32388</v>
      </c>
      <c r="M37" s="1">
        <v>1.58224</v>
      </c>
    </row>
    <row r="38">
      <c r="A38" s="1" t="s">
        <v>57</v>
      </c>
      <c r="B38" s="1" t="s">
        <v>14</v>
      </c>
      <c r="C38" s="1">
        <v>37.0</v>
      </c>
      <c r="D38" s="1">
        <v>6.361</v>
      </c>
      <c r="E38" s="1">
        <v>6.288</v>
      </c>
      <c r="F38" s="1">
        <v>6.434</v>
      </c>
      <c r="G38" s="1">
        <v>1.34253</v>
      </c>
      <c r="H38" s="1">
        <v>1.12945</v>
      </c>
      <c r="I38" s="1">
        <v>0.87896</v>
      </c>
      <c r="J38" s="1">
        <v>0.37545</v>
      </c>
      <c r="K38" s="1">
        <v>0.06137</v>
      </c>
      <c r="L38" s="1">
        <v>0.17665</v>
      </c>
      <c r="M38" s="1">
        <v>2.39663</v>
      </c>
    </row>
    <row r="39">
      <c r="A39" s="1" t="s">
        <v>58</v>
      </c>
      <c r="B39" s="1" t="s">
        <v>27</v>
      </c>
      <c r="C39" s="1">
        <v>38.0</v>
      </c>
      <c r="D39" s="1">
        <v>6.355</v>
      </c>
      <c r="E39" s="1">
        <v>6.227</v>
      </c>
      <c r="F39" s="1">
        <v>6.483</v>
      </c>
      <c r="G39" s="1">
        <v>1.05266</v>
      </c>
      <c r="H39" s="1">
        <v>0.83309</v>
      </c>
      <c r="I39" s="1">
        <v>0.61804</v>
      </c>
      <c r="J39" s="1">
        <v>0.21006</v>
      </c>
      <c r="K39" s="1">
        <v>0.16157</v>
      </c>
      <c r="L39" s="1">
        <v>0.07044</v>
      </c>
      <c r="M39" s="1">
        <v>3.40904</v>
      </c>
    </row>
    <row r="40">
      <c r="A40" s="1" t="s">
        <v>59</v>
      </c>
      <c r="B40" s="1" t="s">
        <v>31</v>
      </c>
      <c r="C40" s="1">
        <v>39.0</v>
      </c>
      <c r="D40" s="1">
        <v>6.324</v>
      </c>
      <c r="E40" s="1">
        <v>6.213</v>
      </c>
      <c r="F40" s="1">
        <v>6.435</v>
      </c>
      <c r="G40" s="1">
        <v>0.83454</v>
      </c>
      <c r="H40" s="1">
        <v>0.87119</v>
      </c>
      <c r="I40" s="1">
        <v>0.54039</v>
      </c>
      <c r="J40" s="1">
        <v>0.50379</v>
      </c>
      <c r="K40" s="1">
        <v>0.08701</v>
      </c>
      <c r="L40" s="1">
        <v>0.28808</v>
      </c>
      <c r="M40" s="1">
        <v>3.19863</v>
      </c>
    </row>
    <row r="41">
      <c r="A41" s="1" t="s">
        <v>60</v>
      </c>
      <c r="B41" s="1" t="s">
        <v>31</v>
      </c>
      <c r="C41" s="1">
        <v>40.0</v>
      </c>
      <c r="D41" s="1">
        <v>6.269</v>
      </c>
      <c r="E41" s="1">
        <v>6.073</v>
      </c>
      <c r="F41" s="1">
        <v>6.465</v>
      </c>
      <c r="G41" s="1">
        <v>1.09686</v>
      </c>
      <c r="H41" s="1">
        <v>0.77866</v>
      </c>
      <c r="I41" s="1">
        <v>0.50933</v>
      </c>
      <c r="J41" s="1">
        <v>0.52234</v>
      </c>
      <c r="K41" s="1">
        <v>0.12692</v>
      </c>
      <c r="L41" s="1">
        <v>0.16665</v>
      </c>
      <c r="M41" s="1">
        <v>3.06852</v>
      </c>
    </row>
    <row r="42">
      <c r="A42" s="1" t="s">
        <v>61</v>
      </c>
      <c r="B42" s="1" t="s">
        <v>27</v>
      </c>
      <c r="C42" s="1">
        <v>41.0</v>
      </c>
      <c r="D42" s="1">
        <v>6.239</v>
      </c>
      <c r="E42" s="1">
        <v>6.154</v>
      </c>
      <c r="F42" s="1">
        <v>6.324</v>
      </c>
      <c r="G42" s="1">
        <v>1.61714</v>
      </c>
      <c r="H42" s="1">
        <v>0.87758</v>
      </c>
      <c r="I42" s="1">
        <v>0.63569</v>
      </c>
      <c r="J42" s="1">
        <v>0.43166</v>
      </c>
      <c r="K42" s="1">
        <v>0.23669</v>
      </c>
      <c r="L42" s="1">
        <v>0.15965</v>
      </c>
      <c r="M42" s="1">
        <v>2.28085</v>
      </c>
    </row>
    <row r="43">
      <c r="A43" s="1" t="s">
        <v>62</v>
      </c>
      <c r="B43" s="1" t="s">
        <v>27</v>
      </c>
      <c r="C43" s="1">
        <v>42.0</v>
      </c>
      <c r="D43" s="1">
        <v>6.218</v>
      </c>
      <c r="E43" s="1">
        <v>6.128</v>
      </c>
      <c r="F43" s="1">
        <v>6.308</v>
      </c>
      <c r="G43" s="1">
        <v>1.44024</v>
      </c>
      <c r="H43" s="1">
        <v>0.94397</v>
      </c>
      <c r="I43" s="1">
        <v>0.65696</v>
      </c>
      <c r="J43" s="1">
        <v>0.47375</v>
      </c>
      <c r="K43" s="1">
        <v>0.25772</v>
      </c>
      <c r="L43" s="1">
        <v>0.17147</v>
      </c>
      <c r="M43" s="1">
        <v>2.27405</v>
      </c>
    </row>
    <row r="44">
      <c r="A44" s="1" t="s">
        <v>63</v>
      </c>
      <c r="B44" s="1" t="s">
        <v>31</v>
      </c>
      <c r="C44" s="1">
        <v>43.0</v>
      </c>
      <c r="D44" s="1">
        <v>6.168</v>
      </c>
      <c r="E44" s="1">
        <v>5.95</v>
      </c>
      <c r="F44" s="1">
        <v>6.386</v>
      </c>
      <c r="G44" s="1">
        <v>1.32572</v>
      </c>
      <c r="H44" s="1">
        <v>0.98569</v>
      </c>
      <c r="I44" s="1">
        <v>0.52608</v>
      </c>
      <c r="J44" s="1">
        <v>0.48453</v>
      </c>
      <c r="K44" s="1">
        <v>0.01241</v>
      </c>
      <c r="L44" s="1">
        <v>0.31935</v>
      </c>
      <c r="M44" s="1">
        <v>2.51394</v>
      </c>
    </row>
    <row r="45">
      <c r="A45" s="1" t="s">
        <v>64</v>
      </c>
      <c r="B45" s="1" t="s">
        <v>31</v>
      </c>
      <c r="C45" s="1">
        <v>44.0</v>
      </c>
      <c r="D45" s="1">
        <v>6.084</v>
      </c>
      <c r="E45" s="1">
        <v>5.973</v>
      </c>
      <c r="F45" s="1">
        <v>6.195</v>
      </c>
      <c r="G45" s="1">
        <v>1.13367</v>
      </c>
      <c r="H45" s="1">
        <v>1.03302</v>
      </c>
      <c r="I45" s="1">
        <v>0.61904</v>
      </c>
      <c r="J45" s="1">
        <v>0.19847</v>
      </c>
      <c r="K45" s="1">
        <v>0.08304</v>
      </c>
      <c r="L45" s="1">
        <v>0.0425</v>
      </c>
      <c r="M45" s="1">
        <v>2.97468</v>
      </c>
    </row>
    <row r="46">
      <c r="A46" s="1" t="s">
        <v>65</v>
      </c>
      <c r="B46" s="1" t="s">
        <v>46</v>
      </c>
      <c r="C46" s="1">
        <v>45.0</v>
      </c>
      <c r="D46" s="1">
        <v>6.078</v>
      </c>
      <c r="E46" s="1">
        <v>5.996</v>
      </c>
      <c r="F46" s="1">
        <v>6.16</v>
      </c>
      <c r="G46" s="1">
        <v>1.27973</v>
      </c>
      <c r="H46" s="1">
        <v>1.08268</v>
      </c>
      <c r="I46" s="1">
        <v>0.70367</v>
      </c>
      <c r="J46" s="1">
        <v>0.23391</v>
      </c>
      <c r="K46" s="1">
        <v>0.02947</v>
      </c>
      <c r="L46" s="1">
        <v>0.13837</v>
      </c>
      <c r="M46" s="1">
        <v>2.61065</v>
      </c>
    </row>
    <row r="47">
      <c r="A47" s="1" t="s">
        <v>66</v>
      </c>
      <c r="B47" s="1" t="s">
        <v>31</v>
      </c>
      <c r="C47" s="1">
        <v>46.0</v>
      </c>
      <c r="D47" s="1">
        <v>6.068</v>
      </c>
      <c r="E47" s="1">
        <v>5.967</v>
      </c>
      <c r="F47" s="1">
        <v>6.169</v>
      </c>
      <c r="G47" s="1">
        <v>0.8737</v>
      </c>
      <c r="H47" s="1">
        <v>0.80975</v>
      </c>
      <c r="I47" s="1">
        <v>0.596</v>
      </c>
      <c r="J47" s="1">
        <v>0.37269</v>
      </c>
      <c r="K47" s="1">
        <v>0.10613</v>
      </c>
      <c r="L47" s="1">
        <v>0.08877</v>
      </c>
      <c r="M47" s="1">
        <v>3.22134</v>
      </c>
    </row>
    <row r="48">
      <c r="A48" s="1" t="s">
        <v>67</v>
      </c>
      <c r="B48" s="1" t="s">
        <v>40</v>
      </c>
      <c r="C48" s="1">
        <v>47.0</v>
      </c>
      <c r="D48" s="1">
        <v>6.005</v>
      </c>
      <c r="E48" s="1">
        <v>5.921</v>
      </c>
      <c r="F48" s="1">
        <v>6.089</v>
      </c>
      <c r="G48" s="1">
        <v>1.25142</v>
      </c>
      <c r="H48" s="1">
        <v>0.88025</v>
      </c>
      <c r="I48" s="1">
        <v>0.62366</v>
      </c>
      <c r="J48" s="1">
        <v>0.39031</v>
      </c>
      <c r="K48" s="1">
        <v>0.09081</v>
      </c>
      <c r="L48" s="1">
        <v>0.41474</v>
      </c>
      <c r="M48" s="1">
        <v>2.35384</v>
      </c>
    </row>
    <row r="49">
      <c r="A49" s="1" t="s">
        <v>68</v>
      </c>
      <c r="B49" s="1" t="s">
        <v>31</v>
      </c>
      <c r="C49" s="1">
        <v>48.0</v>
      </c>
      <c r="D49" s="1">
        <v>5.992</v>
      </c>
      <c r="E49" s="1">
        <v>5.877</v>
      </c>
      <c r="F49" s="1">
        <v>6.107</v>
      </c>
      <c r="G49" s="1">
        <v>0.69384</v>
      </c>
      <c r="H49" s="1">
        <v>0.89521</v>
      </c>
      <c r="I49" s="1">
        <v>0.65213</v>
      </c>
      <c r="J49" s="1">
        <v>0.46582</v>
      </c>
      <c r="K49" s="1">
        <v>0.16292</v>
      </c>
      <c r="L49" s="1">
        <v>0.29773</v>
      </c>
      <c r="M49" s="1">
        <v>2.82428</v>
      </c>
    </row>
    <row r="50">
      <c r="A50" s="1" t="s">
        <v>69</v>
      </c>
      <c r="B50" s="1" t="s">
        <v>46</v>
      </c>
      <c r="C50" s="1">
        <v>49.0</v>
      </c>
      <c r="D50" s="1">
        <v>5.987</v>
      </c>
      <c r="E50" s="1">
        <v>5.896</v>
      </c>
      <c r="F50" s="1">
        <v>6.078</v>
      </c>
      <c r="G50" s="1">
        <v>0.73591</v>
      </c>
      <c r="H50" s="1">
        <v>1.1681</v>
      </c>
      <c r="I50" s="1">
        <v>0.50163</v>
      </c>
      <c r="J50" s="1">
        <v>0.60848</v>
      </c>
      <c r="K50" s="1">
        <v>0.28333</v>
      </c>
      <c r="L50" s="1">
        <v>0.34326</v>
      </c>
      <c r="M50" s="1">
        <v>2.34638</v>
      </c>
    </row>
    <row r="51">
      <c r="A51" s="1" t="s">
        <v>70</v>
      </c>
      <c r="B51" s="1" t="s">
        <v>14</v>
      </c>
      <c r="C51" s="1">
        <v>50.0</v>
      </c>
      <c r="D51" s="1">
        <v>5.977</v>
      </c>
      <c r="E51" s="1">
        <v>5.898</v>
      </c>
      <c r="F51" s="1">
        <v>6.056</v>
      </c>
      <c r="G51" s="1">
        <v>1.35495</v>
      </c>
      <c r="H51" s="1">
        <v>1.04167</v>
      </c>
      <c r="I51" s="1">
        <v>0.85102</v>
      </c>
      <c r="J51" s="1">
        <v>0.18827</v>
      </c>
      <c r="K51" s="1">
        <v>0.02556</v>
      </c>
      <c r="L51" s="1">
        <v>0.16684</v>
      </c>
      <c r="M51" s="1">
        <v>2.34918</v>
      </c>
    </row>
    <row r="52">
      <c r="A52" s="1" t="s">
        <v>71</v>
      </c>
      <c r="B52" s="1" t="s">
        <v>31</v>
      </c>
      <c r="C52" s="1">
        <v>51.0</v>
      </c>
      <c r="D52" s="1">
        <v>5.976</v>
      </c>
      <c r="E52" s="1">
        <v>5.88</v>
      </c>
      <c r="F52" s="1">
        <v>6.072</v>
      </c>
      <c r="G52" s="1">
        <v>0.97306</v>
      </c>
      <c r="H52" s="1">
        <v>0.85974</v>
      </c>
      <c r="I52" s="1">
        <v>0.68613</v>
      </c>
      <c r="J52" s="1">
        <v>0.4027</v>
      </c>
      <c r="K52" s="1">
        <v>0.18037</v>
      </c>
      <c r="L52" s="1">
        <v>0.10074</v>
      </c>
      <c r="M52" s="1">
        <v>2.77366</v>
      </c>
    </row>
    <row r="53">
      <c r="A53" s="1" t="s">
        <v>72</v>
      </c>
      <c r="B53" s="1" t="s">
        <v>31</v>
      </c>
      <c r="C53" s="1">
        <v>52.0</v>
      </c>
      <c r="D53" s="1">
        <v>5.956</v>
      </c>
      <c r="E53" s="1">
        <v>5.71</v>
      </c>
      <c r="F53" s="1">
        <v>6.202</v>
      </c>
      <c r="G53" s="1">
        <v>0.87616</v>
      </c>
      <c r="H53" s="1">
        <v>0.68655</v>
      </c>
      <c r="I53" s="1">
        <v>0.45569</v>
      </c>
      <c r="J53" s="1">
        <v>0.51231</v>
      </c>
      <c r="K53" s="1">
        <v>0.10771</v>
      </c>
      <c r="L53" s="1">
        <v>0.23684</v>
      </c>
      <c r="M53" s="1">
        <v>3.08039</v>
      </c>
    </row>
    <row r="54">
      <c r="A54" s="1" t="s">
        <v>73</v>
      </c>
      <c r="B54" s="1" t="s">
        <v>55</v>
      </c>
      <c r="C54" s="1">
        <v>53.0</v>
      </c>
      <c r="D54" s="1">
        <v>5.921</v>
      </c>
      <c r="E54" s="1">
        <v>5.85</v>
      </c>
      <c r="F54" s="1">
        <v>5.992</v>
      </c>
      <c r="G54" s="1">
        <v>1.38007</v>
      </c>
      <c r="H54" s="1">
        <v>1.06054</v>
      </c>
      <c r="I54" s="1">
        <v>0.91491</v>
      </c>
      <c r="J54" s="1">
        <v>0.46761</v>
      </c>
      <c r="K54" s="1">
        <v>0.18985</v>
      </c>
      <c r="L54" s="1">
        <v>0.10224</v>
      </c>
      <c r="M54" s="1">
        <v>1.80584</v>
      </c>
    </row>
    <row r="55">
      <c r="A55" s="1" t="s">
        <v>74</v>
      </c>
      <c r="B55" s="1" t="s">
        <v>46</v>
      </c>
      <c r="C55" s="1">
        <v>54.0</v>
      </c>
      <c r="D55" s="1">
        <v>5.919</v>
      </c>
      <c r="E55" s="1">
        <v>5.837</v>
      </c>
      <c r="F55" s="1">
        <v>6.001</v>
      </c>
      <c r="G55" s="1">
        <v>1.22943</v>
      </c>
      <c r="H55" s="1">
        <v>0.95544</v>
      </c>
      <c r="I55" s="1">
        <v>0.57386</v>
      </c>
      <c r="J55" s="1">
        <v>0.4052</v>
      </c>
      <c r="K55" s="1">
        <v>0.11132</v>
      </c>
      <c r="L55" s="1">
        <v>0.15011</v>
      </c>
      <c r="M55" s="1">
        <v>2.49325</v>
      </c>
    </row>
    <row r="56">
      <c r="A56" s="1" t="s">
        <v>75</v>
      </c>
      <c r="B56" s="1" t="s">
        <v>46</v>
      </c>
      <c r="C56" s="1">
        <v>55.0</v>
      </c>
      <c r="D56" s="1">
        <v>5.897</v>
      </c>
      <c r="E56" s="1">
        <v>5.823</v>
      </c>
      <c r="F56" s="1">
        <v>5.971</v>
      </c>
      <c r="G56" s="1">
        <v>0.69177</v>
      </c>
      <c r="H56" s="1">
        <v>0.83132</v>
      </c>
      <c r="I56" s="1">
        <v>0.52309</v>
      </c>
      <c r="J56" s="1">
        <v>0.25202</v>
      </c>
      <c r="K56" s="1">
        <v>0.01903</v>
      </c>
      <c r="L56" s="1">
        <v>0.19997</v>
      </c>
      <c r="M56" s="1">
        <v>3.38007</v>
      </c>
    </row>
    <row r="57">
      <c r="A57" s="1" t="s">
        <v>76</v>
      </c>
      <c r="B57" s="1" t="s">
        <v>46</v>
      </c>
      <c r="C57" s="1">
        <v>56.0</v>
      </c>
      <c r="D57" s="1">
        <v>5.856</v>
      </c>
      <c r="E57" s="1">
        <v>5.789</v>
      </c>
      <c r="F57" s="1">
        <v>5.923</v>
      </c>
      <c r="G57" s="1">
        <v>1.23228</v>
      </c>
      <c r="H57" s="1">
        <v>1.05261</v>
      </c>
      <c r="I57" s="1">
        <v>0.58991</v>
      </c>
      <c r="J57" s="1">
        <v>0.32682</v>
      </c>
      <c r="K57" s="1">
        <v>0.03586</v>
      </c>
      <c r="L57" s="1">
        <v>0.02736</v>
      </c>
      <c r="M57" s="1">
        <v>2.59115</v>
      </c>
    </row>
    <row r="58">
      <c r="A58" s="1" t="s">
        <v>77</v>
      </c>
      <c r="B58" s="1" t="s">
        <v>46</v>
      </c>
      <c r="C58" s="1">
        <v>57.0</v>
      </c>
      <c r="D58" s="1">
        <v>5.835</v>
      </c>
      <c r="E58" s="1">
        <v>5.749</v>
      </c>
      <c r="F58" s="1">
        <v>5.921</v>
      </c>
      <c r="G58" s="1">
        <v>1.24585</v>
      </c>
      <c r="H58" s="1">
        <v>1.04685</v>
      </c>
      <c r="I58" s="1">
        <v>0.69058</v>
      </c>
      <c r="J58" s="1">
        <v>0.4519</v>
      </c>
      <c r="K58" s="1">
        <v>0.055</v>
      </c>
      <c r="L58" s="1">
        <v>0.14443</v>
      </c>
      <c r="M58" s="1">
        <v>2.20035</v>
      </c>
    </row>
    <row r="59">
      <c r="A59" s="1" t="s">
        <v>78</v>
      </c>
      <c r="B59" s="1" t="s">
        <v>55</v>
      </c>
      <c r="C59" s="1">
        <v>57.0</v>
      </c>
      <c r="D59" s="1">
        <v>5.835</v>
      </c>
      <c r="E59" s="1">
        <v>5.747</v>
      </c>
      <c r="F59" s="1">
        <v>5.923</v>
      </c>
      <c r="G59" s="1">
        <v>1.35948</v>
      </c>
      <c r="H59" s="1">
        <v>0.72194</v>
      </c>
      <c r="I59" s="1">
        <v>0.88645</v>
      </c>
      <c r="J59" s="1">
        <v>0.25168</v>
      </c>
      <c r="K59" s="1">
        <v>0.07716</v>
      </c>
      <c r="L59" s="1">
        <v>0.18824</v>
      </c>
      <c r="M59" s="1">
        <v>2.35015</v>
      </c>
    </row>
    <row r="60">
      <c r="A60" s="1" t="s">
        <v>79</v>
      </c>
      <c r="B60" s="1" t="s">
        <v>31</v>
      </c>
      <c r="C60" s="1">
        <v>59.0</v>
      </c>
      <c r="D60" s="1">
        <v>5.822</v>
      </c>
      <c r="E60" s="1">
        <v>5.74</v>
      </c>
      <c r="F60" s="1">
        <v>5.904</v>
      </c>
      <c r="G60" s="1">
        <v>0.79422</v>
      </c>
      <c r="H60" s="1">
        <v>0.83779</v>
      </c>
      <c r="I60" s="1">
        <v>0.4697</v>
      </c>
      <c r="J60" s="1">
        <v>0.50961</v>
      </c>
      <c r="K60" s="1">
        <v>0.07746</v>
      </c>
      <c r="L60" s="1">
        <v>0.21698</v>
      </c>
      <c r="M60" s="1">
        <v>2.91635</v>
      </c>
    </row>
    <row r="61">
      <c r="A61" s="1" t="s">
        <v>80</v>
      </c>
      <c r="B61" s="1" t="s">
        <v>46</v>
      </c>
      <c r="C61" s="1">
        <v>60.0</v>
      </c>
      <c r="D61" s="1">
        <v>5.813</v>
      </c>
      <c r="E61" s="1">
        <v>5.734</v>
      </c>
      <c r="F61" s="1">
        <v>5.892</v>
      </c>
      <c r="G61" s="1">
        <v>1.2692</v>
      </c>
      <c r="H61" s="1">
        <v>1.06411</v>
      </c>
      <c r="I61" s="1">
        <v>0.64674</v>
      </c>
      <c r="J61" s="1">
        <v>0.18929</v>
      </c>
      <c r="K61" s="1">
        <v>0.0182</v>
      </c>
      <c r="L61" s="1">
        <v>0.02025</v>
      </c>
      <c r="M61" s="1">
        <v>2.60525</v>
      </c>
    </row>
    <row r="62">
      <c r="A62" s="1" t="s">
        <v>81</v>
      </c>
      <c r="B62" s="1" t="s">
        <v>46</v>
      </c>
      <c r="C62" s="1">
        <v>61.0</v>
      </c>
      <c r="D62" s="1">
        <v>5.802</v>
      </c>
      <c r="E62" s="1">
        <v>5.723</v>
      </c>
      <c r="F62" s="1">
        <v>5.881</v>
      </c>
      <c r="G62" s="1">
        <v>1.13062</v>
      </c>
      <c r="H62" s="1">
        <v>1.04993</v>
      </c>
      <c r="I62" s="1">
        <v>0.63104</v>
      </c>
      <c r="J62" s="1">
        <v>0.29091</v>
      </c>
      <c r="K62" s="1">
        <v>0.17457</v>
      </c>
      <c r="L62" s="1">
        <v>0.13942</v>
      </c>
      <c r="M62" s="1">
        <v>2.38582</v>
      </c>
    </row>
    <row r="63">
      <c r="A63" s="1" t="s">
        <v>82</v>
      </c>
      <c r="B63" s="1" t="s">
        <v>14</v>
      </c>
      <c r="C63" s="1">
        <v>62.0</v>
      </c>
      <c r="D63" s="1">
        <v>5.771</v>
      </c>
      <c r="E63" s="1">
        <v>5.67</v>
      </c>
      <c r="F63" s="1">
        <v>5.872</v>
      </c>
      <c r="G63" s="1">
        <v>1.31141</v>
      </c>
      <c r="H63" s="1">
        <v>0.81826</v>
      </c>
      <c r="I63" s="1">
        <v>0.84142</v>
      </c>
      <c r="J63" s="1">
        <v>0.43596</v>
      </c>
      <c r="K63" s="1">
        <v>0.16578</v>
      </c>
      <c r="L63" s="1">
        <v>0.26322</v>
      </c>
      <c r="M63" s="1">
        <v>1.93447</v>
      </c>
    </row>
    <row r="64">
      <c r="A64" s="1" t="s">
        <v>83</v>
      </c>
      <c r="B64" s="1" t="s">
        <v>46</v>
      </c>
      <c r="C64" s="1">
        <v>63.0</v>
      </c>
      <c r="D64" s="1">
        <v>5.768</v>
      </c>
      <c r="E64" s="1">
        <v>5.683</v>
      </c>
      <c r="F64" s="1">
        <v>5.853</v>
      </c>
      <c r="G64" s="1">
        <v>1.29947</v>
      </c>
      <c r="H64" s="1">
        <v>1.05613</v>
      </c>
      <c r="I64" s="1">
        <v>0.79151</v>
      </c>
      <c r="J64" s="1">
        <v>0.53164</v>
      </c>
      <c r="K64" s="1">
        <v>0.03635</v>
      </c>
      <c r="L64" s="1">
        <v>0.25738</v>
      </c>
      <c r="M64" s="1">
        <v>1.79522</v>
      </c>
    </row>
    <row r="65">
      <c r="A65" s="1" t="s">
        <v>84</v>
      </c>
      <c r="B65" s="1" t="s">
        <v>31</v>
      </c>
      <c r="C65" s="1">
        <v>64.0</v>
      </c>
      <c r="D65" s="1">
        <v>5.743</v>
      </c>
      <c r="E65" s="1">
        <v>5.647</v>
      </c>
      <c r="F65" s="1">
        <v>5.839</v>
      </c>
      <c r="G65" s="1">
        <v>0.99602</v>
      </c>
      <c r="H65" s="1">
        <v>0.81255</v>
      </c>
      <c r="I65" s="1">
        <v>0.62994</v>
      </c>
      <c r="J65" s="1">
        <v>0.37502</v>
      </c>
      <c r="K65" s="1">
        <v>0.05292</v>
      </c>
      <c r="L65" s="1">
        <v>0.14527</v>
      </c>
      <c r="M65" s="1">
        <v>2.73117</v>
      </c>
    </row>
    <row r="66">
      <c r="A66" s="1" t="s">
        <v>85</v>
      </c>
      <c r="B66" s="1" t="s">
        <v>46</v>
      </c>
      <c r="C66" s="1">
        <v>65.0</v>
      </c>
      <c r="D66" s="1">
        <v>5.658</v>
      </c>
      <c r="E66" s="1">
        <v>5.58</v>
      </c>
      <c r="F66" s="1">
        <v>5.736</v>
      </c>
      <c r="G66" s="1">
        <v>1.08017</v>
      </c>
      <c r="H66" s="1">
        <v>1.03817</v>
      </c>
      <c r="I66" s="1">
        <v>0.44006</v>
      </c>
      <c r="J66" s="1">
        <v>0.37408</v>
      </c>
      <c r="K66" s="1">
        <v>0.28467</v>
      </c>
      <c r="L66" s="1">
        <v>0.22567</v>
      </c>
      <c r="M66" s="1">
        <v>2.21489</v>
      </c>
    </row>
    <row r="67">
      <c r="A67" s="1" t="s">
        <v>86</v>
      </c>
      <c r="B67" s="1" t="s">
        <v>87</v>
      </c>
      <c r="C67" s="1">
        <v>66.0</v>
      </c>
      <c r="D67" s="1">
        <v>5.648</v>
      </c>
      <c r="E67" s="1">
        <v>5.507</v>
      </c>
      <c r="F67" s="1">
        <v>5.789</v>
      </c>
      <c r="G67" s="1">
        <v>1.14372</v>
      </c>
      <c r="H67" s="1">
        <v>0.75695</v>
      </c>
      <c r="I67" s="1">
        <v>0.66189</v>
      </c>
      <c r="J67" s="1">
        <v>0.46145</v>
      </c>
      <c r="K67" s="1">
        <v>0.05203</v>
      </c>
      <c r="L67" s="1">
        <v>0.36951</v>
      </c>
      <c r="M67" s="1">
        <v>2.20223</v>
      </c>
    </row>
    <row r="68">
      <c r="A68" s="1" t="s">
        <v>88</v>
      </c>
      <c r="B68" s="1" t="s">
        <v>27</v>
      </c>
      <c r="C68" s="1">
        <v>67.0</v>
      </c>
      <c r="D68" s="1">
        <v>5.615</v>
      </c>
      <c r="E68" s="1">
        <v>5.406</v>
      </c>
      <c r="F68" s="1">
        <v>5.824</v>
      </c>
      <c r="G68" s="1">
        <v>1.06688</v>
      </c>
      <c r="H68" s="1">
        <v>0.95076</v>
      </c>
      <c r="I68" s="1">
        <v>0.52304</v>
      </c>
      <c r="J68" s="1">
        <v>0.40672</v>
      </c>
      <c r="K68" s="1">
        <v>0.10339</v>
      </c>
      <c r="L68" s="1">
        <v>0.17087</v>
      </c>
      <c r="M68" s="1">
        <v>2.39374</v>
      </c>
    </row>
    <row r="69">
      <c r="A69" s="1" t="s">
        <v>89</v>
      </c>
      <c r="B69" s="1" t="s">
        <v>46</v>
      </c>
      <c r="C69" s="1">
        <v>68.0</v>
      </c>
      <c r="D69" s="1">
        <v>5.56</v>
      </c>
      <c r="E69" s="1">
        <v>5.486</v>
      </c>
      <c r="F69" s="1">
        <v>5.634</v>
      </c>
      <c r="G69" s="1">
        <v>1.21788</v>
      </c>
      <c r="H69" s="1">
        <v>0.95025</v>
      </c>
      <c r="I69" s="1">
        <v>0.63952</v>
      </c>
      <c r="J69" s="1">
        <v>0.27996</v>
      </c>
      <c r="K69" s="1">
        <v>0.0889</v>
      </c>
      <c r="L69" s="1">
        <v>0.17445</v>
      </c>
      <c r="M69" s="1">
        <v>2.20859</v>
      </c>
    </row>
    <row r="70">
      <c r="A70" s="1" t="s">
        <v>90</v>
      </c>
      <c r="B70" s="1" t="s">
        <v>14</v>
      </c>
      <c r="C70" s="1">
        <v>69.0</v>
      </c>
      <c r="D70" s="1">
        <v>5.546</v>
      </c>
      <c r="E70" s="1">
        <v>5.442</v>
      </c>
      <c r="F70" s="1">
        <v>5.65</v>
      </c>
      <c r="G70" s="1">
        <v>1.31857</v>
      </c>
      <c r="H70" s="1">
        <v>0.70697</v>
      </c>
      <c r="I70" s="1">
        <v>0.8488</v>
      </c>
      <c r="J70" s="1">
        <v>0.29507</v>
      </c>
      <c r="K70" s="1">
        <v>0.05228</v>
      </c>
      <c r="L70" s="1">
        <v>0.27906</v>
      </c>
      <c r="M70" s="1">
        <v>2.04497</v>
      </c>
    </row>
    <row r="71">
      <c r="A71" s="1" t="s">
        <v>91</v>
      </c>
      <c r="B71" s="1" t="s">
        <v>31</v>
      </c>
      <c r="C71" s="1">
        <v>70.0</v>
      </c>
      <c r="D71" s="1">
        <v>5.538</v>
      </c>
      <c r="E71" s="1">
        <v>5.453</v>
      </c>
      <c r="F71" s="1">
        <v>5.623</v>
      </c>
      <c r="G71" s="1">
        <v>0.89373</v>
      </c>
      <c r="H71" s="1">
        <v>1.11111</v>
      </c>
      <c r="I71" s="1">
        <v>0.58295</v>
      </c>
      <c r="J71" s="1">
        <v>0.46235</v>
      </c>
      <c r="K71" s="1">
        <v>0.07396</v>
      </c>
      <c r="L71" s="1">
        <v>0.25296</v>
      </c>
      <c r="M71" s="1">
        <v>2.16091</v>
      </c>
    </row>
    <row r="72">
      <c r="A72" s="1" t="s">
        <v>92</v>
      </c>
      <c r="B72" s="1" t="s">
        <v>46</v>
      </c>
      <c r="C72" s="1">
        <v>71.0</v>
      </c>
      <c r="D72" s="1">
        <v>5.528</v>
      </c>
      <c r="E72" s="1">
        <v>5.427</v>
      </c>
      <c r="F72" s="1">
        <v>5.629</v>
      </c>
      <c r="G72" s="1">
        <v>1.1697</v>
      </c>
      <c r="H72" s="1">
        <v>0.72803</v>
      </c>
      <c r="I72" s="1">
        <v>0.67602</v>
      </c>
      <c r="J72" s="1">
        <v>0.36712</v>
      </c>
      <c r="K72" s="1">
        <v>0.00679</v>
      </c>
      <c r="L72" s="1">
        <v>0.12889</v>
      </c>
      <c r="M72" s="1">
        <v>2.45184</v>
      </c>
    </row>
    <row r="73">
      <c r="A73" s="1" t="s">
        <v>93</v>
      </c>
      <c r="B73" s="1" t="s">
        <v>46</v>
      </c>
      <c r="C73" s="1">
        <v>72.0</v>
      </c>
      <c r="D73" s="1">
        <v>5.517</v>
      </c>
      <c r="E73" s="1">
        <v>5.437</v>
      </c>
      <c r="F73" s="1">
        <v>5.597</v>
      </c>
      <c r="G73" s="1">
        <v>1.27964</v>
      </c>
      <c r="H73" s="1">
        <v>1.05163</v>
      </c>
      <c r="I73" s="1">
        <v>0.68098</v>
      </c>
      <c r="J73" s="1">
        <v>0.41511</v>
      </c>
      <c r="K73" s="1">
        <v>0.18519</v>
      </c>
      <c r="L73" s="1">
        <v>0.08423</v>
      </c>
      <c r="M73" s="1">
        <v>1.81985</v>
      </c>
    </row>
    <row r="74">
      <c r="A74" s="1" t="s">
        <v>94</v>
      </c>
      <c r="B74" s="1" t="s">
        <v>31</v>
      </c>
      <c r="C74" s="1">
        <v>73.0</v>
      </c>
      <c r="D74" s="1">
        <v>5.51</v>
      </c>
      <c r="E74" s="1">
        <v>5.315</v>
      </c>
      <c r="F74" s="1">
        <v>5.705</v>
      </c>
      <c r="G74" s="1">
        <v>0.89333</v>
      </c>
      <c r="H74" s="1">
        <v>0.96372</v>
      </c>
      <c r="I74" s="1">
        <v>0.59469</v>
      </c>
      <c r="J74" s="1">
        <v>0.43597</v>
      </c>
      <c r="K74" s="1">
        <v>0.04294</v>
      </c>
      <c r="L74" s="1">
        <v>0.22245</v>
      </c>
      <c r="M74" s="1">
        <v>2.35682</v>
      </c>
    </row>
    <row r="75">
      <c r="A75" s="1" t="s">
        <v>95</v>
      </c>
      <c r="B75" s="1" t="s">
        <v>46</v>
      </c>
      <c r="C75" s="1">
        <v>74.0</v>
      </c>
      <c r="D75" s="1">
        <v>5.488</v>
      </c>
      <c r="E75" s="1">
        <v>5.402</v>
      </c>
      <c r="F75" s="1">
        <v>5.574</v>
      </c>
      <c r="G75" s="1">
        <v>1.18649</v>
      </c>
      <c r="H75" s="1">
        <v>0.60809</v>
      </c>
      <c r="I75" s="1">
        <v>0.70524</v>
      </c>
      <c r="J75" s="1">
        <v>0.23907</v>
      </c>
      <c r="K75" s="1">
        <v>0.04002</v>
      </c>
      <c r="L75" s="1">
        <v>0.18434</v>
      </c>
      <c r="M75" s="1">
        <v>2.52462</v>
      </c>
    </row>
    <row r="76">
      <c r="A76" s="1" t="s">
        <v>96</v>
      </c>
      <c r="B76" s="1" t="s">
        <v>55</v>
      </c>
      <c r="C76" s="1">
        <v>75.0</v>
      </c>
      <c r="D76" s="1">
        <v>5.458</v>
      </c>
      <c r="E76" s="1">
        <v>5.362</v>
      </c>
      <c r="F76" s="1">
        <v>5.554</v>
      </c>
      <c r="G76" s="1">
        <v>1.5107</v>
      </c>
      <c r="H76" s="1">
        <v>0.87021</v>
      </c>
      <c r="I76" s="1">
        <v>0.95277</v>
      </c>
      <c r="J76" s="1">
        <v>0.48079</v>
      </c>
      <c r="K76" s="1">
        <v>0.31647</v>
      </c>
      <c r="L76" s="1">
        <v>0.40097</v>
      </c>
      <c r="M76" s="1">
        <v>0.92614</v>
      </c>
    </row>
    <row r="77">
      <c r="A77" s="1" t="s">
        <v>97</v>
      </c>
      <c r="B77" s="1" t="s">
        <v>87</v>
      </c>
      <c r="C77" s="1">
        <v>76.0</v>
      </c>
      <c r="D77" s="1">
        <v>5.44</v>
      </c>
      <c r="E77" s="1">
        <v>5.321</v>
      </c>
      <c r="F77" s="1">
        <v>5.559</v>
      </c>
      <c r="G77" s="1">
        <v>0.0</v>
      </c>
      <c r="H77" s="1">
        <v>0.33613</v>
      </c>
      <c r="I77" s="1">
        <v>0.11466</v>
      </c>
      <c r="J77" s="1">
        <v>0.56778</v>
      </c>
      <c r="K77" s="1">
        <v>0.3118</v>
      </c>
      <c r="L77" s="1">
        <v>0.27225</v>
      </c>
      <c r="M77" s="1">
        <v>3.83772</v>
      </c>
    </row>
    <row r="78">
      <c r="A78" s="1" t="s">
        <v>98</v>
      </c>
      <c r="B78" s="1" t="s">
        <v>46</v>
      </c>
      <c r="C78" s="1">
        <v>77.0</v>
      </c>
      <c r="D78" s="1">
        <v>5.401</v>
      </c>
      <c r="E78" s="1">
        <v>5.308</v>
      </c>
      <c r="F78" s="1">
        <v>5.494</v>
      </c>
      <c r="G78" s="1">
        <v>0.90145</v>
      </c>
      <c r="H78" s="1">
        <v>0.66062</v>
      </c>
      <c r="I78" s="1">
        <v>0.54</v>
      </c>
      <c r="J78" s="1">
        <v>0.14396</v>
      </c>
      <c r="K78" s="1">
        <v>0.06547</v>
      </c>
      <c r="L78" s="1">
        <v>0.27992</v>
      </c>
      <c r="M78" s="1">
        <v>2.80998</v>
      </c>
    </row>
    <row r="79">
      <c r="A79" s="1" t="s">
        <v>99</v>
      </c>
      <c r="B79" s="1" t="s">
        <v>27</v>
      </c>
      <c r="C79" s="1">
        <v>78.0</v>
      </c>
      <c r="D79" s="1">
        <v>5.389</v>
      </c>
      <c r="E79" s="1">
        <v>5.295</v>
      </c>
      <c r="F79" s="1">
        <v>5.483</v>
      </c>
      <c r="G79" s="1">
        <v>1.16492</v>
      </c>
      <c r="H79" s="1">
        <v>0.87717</v>
      </c>
      <c r="I79" s="1">
        <v>0.64718</v>
      </c>
      <c r="J79" s="1">
        <v>0.23889</v>
      </c>
      <c r="K79" s="1">
        <v>0.12348</v>
      </c>
      <c r="L79" s="1">
        <v>0.04707</v>
      </c>
      <c r="M79" s="1">
        <v>2.29074</v>
      </c>
    </row>
    <row r="80">
      <c r="A80" s="1" t="s">
        <v>100</v>
      </c>
      <c r="B80" s="1" t="s">
        <v>40</v>
      </c>
      <c r="C80" s="1">
        <v>79.0</v>
      </c>
      <c r="D80" s="1">
        <v>5.314</v>
      </c>
      <c r="E80" s="1">
        <v>5.237</v>
      </c>
      <c r="F80" s="1">
        <v>5.391</v>
      </c>
      <c r="G80" s="1">
        <v>0.95104</v>
      </c>
      <c r="H80" s="1">
        <v>0.87625</v>
      </c>
      <c r="I80" s="1">
        <v>0.49374</v>
      </c>
      <c r="J80" s="1">
        <v>0.39237</v>
      </c>
      <c r="K80" s="1">
        <v>0.00322</v>
      </c>
      <c r="L80" s="1">
        <v>0.56521</v>
      </c>
      <c r="M80" s="1">
        <v>2.03171</v>
      </c>
    </row>
    <row r="81">
      <c r="A81" s="1" t="s">
        <v>101</v>
      </c>
      <c r="B81" s="1" t="s">
        <v>27</v>
      </c>
      <c r="C81" s="1">
        <v>80.0</v>
      </c>
      <c r="D81" s="1">
        <v>5.303</v>
      </c>
      <c r="E81" s="1">
        <v>5.187</v>
      </c>
      <c r="F81" s="1">
        <v>5.419</v>
      </c>
      <c r="G81" s="1">
        <v>0.99673</v>
      </c>
      <c r="H81" s="1">
        <v>0.86216</v>
      </c>
      <c r="I81" s="1">
        <v>0.60712</v>
      </c>
      <c r="J81" s="1">
        <v>0.36023</v>
      </c>
      <c r="K81" s="1">
        <v>0.13297</v>
      </c>
      <c r="L81" s="1">
        <v>0.14262</v>
      </c>
      <c r="M81" s="1">
        <v>2.20142</v>
      </c>
    </row>
    <row r="82">
      <c r="A82" s="1" t="s">
        <v>102</v>
      </c>
      <c r="B82" s="1" t="s">
        <v>46</v>
      </c>
      <c r="C82" s="1">
        <v>81.0</v>
      </c>
      <c r="D82" s="1">
        <v>5.291</v>
      </c>
      <c r="E82" s="1">
        <v>5.226</v>
      </c>
      <c r="F82" s="1">
        <v>5.356</v>
      </c>
      <c r="G82" s="1">
        <v>1.12373</v>
      </c>
      <c r="H82" s="1">
        <v>0.76042</v>
      </c>
      <c r="I82" s="1">
        <v>0.54504</v>
      </c>
      <c r="J82" s="1">
        <v>0.35327</v>
      </c>
      <c r="K82" s="1">
        <v>0.17914</v>
      </c>
      <c r="L82" s="1">
        <v>0.0564</v>
      </c>
      <c r="M82" s="1">
        <v>2.2735</v>
      </c>
    </row>
    <row r="83">
      <c r="A83" s="1" t="s">
        <v>103</v>
      </c>
      <c r="B83" s="1" t="s">
        <v>40</v>
      </c>
      <c r="C83" s="1">
        <v>82.0</v>
      </c>
      <c r="D83" s="1">
        <v>5.279</v>
      </c>
      <c r="E83" s="1">
        <v>5.16</v>
      </c>
      <c r="F83" s="1">
        <v>5.398</v>
      </c>
      <c r="G83" s="1">
        <v>0.81217</v>
      </c>
      <c r="H83" s="1">
        <v>0.87877</v>
      </c>
      <c r="I83" s="1">
        <v>0.47036</v>
      </c>
      <c r="J83" s="1">
        <v>0.54854</v>
      </c>
      <c r="K83" s="1">
        <v>0.11757</v>
      </c>
      <c r="L83" s="1">
        <v>0.21674</v>
      </c>
      <c r="M83" s="1">
        <v>2.23484</v>
      </c>
    </row>
    <row r="84">
      <c r="A84" s="1" t="s">
        <v>104</v>
      </c>
      <c r="B84" s="1" t="s">
        <v>55</v>
      </c>
      <c r="C84" s="1">
        <v>83.0</v>
      </c>
      <c r="D84" s="1">
        <v>5.245</v>
      </c>
      <c r="E84" s="1">
        <v>5.199</v>
      </c>
      <c r="F84" s="1">
        <v>5.291</v>
      </c>
      <c r="G84" s="1">
        <v>1.0278</v>
      </c>
      <c r="H84" s="1">
        <v>0.79381</v>
      </c>
      <c r="I84" s="1">
        <v>0.73561</v>
      </c>
      <c r="J84" s="1">
        <v>0.44012</v>
      </c>
      <c r="K84" s="1">
        <v>0.02745</v>
      </c>
      <c r="L84" s="1">
        <v>0.04959</v>
      </c>
      <c r="M84" s="1">
        <v>2.17087</v>
      </c>
    </row>
    <row r="85">
      <c r="A85" s="1" t="s">
        <v>105</v>
      </c>
      <c r="B85" s="1" t="s">
        <v>106</v>
      </c>
      <c r="C85" s="1">
        <v>84.0</v>
      </c>
      <c r="D85" s="1">
        <v>5.196</v>
      </c>
      <c r="E85" s="1">
        <v>5.138</v>
      </c>
      <c r="F85" s="1">
        <v>5.254</v>
      </c>
      <c r="G85" s="1">
        <v>0.8527</v>
      </c>
      <c r="H85" s="1">
        <v>0.90836</v>
      </c>
      <c r="I85" s="1">
        <v>0.49759</v>
      </c>
      <c r="J85" s="1">
        <v>0.46074</v>
      </c>
      <c r="K85" s="1">
        <v>0.1616</v>
      </c>
      <c r="L85" s="1">
        <v>0.48546</v>
      </c>
      <c r="M85" s="1">
        <v>1.82916</v>
      </c>
    </row>
    <row r="86">
      <c r="A86" s="1" t="s">
        <v>107</v>
      </c>
      <c r="B86" s="1" t="s">
        <v>46</v>
      </c>
      <c r="C86" s="1">
        <v>85.0</v>
      </c>
      <c r="D86" s="1">
        <v>5.185</v>
      </c>
      <c r="E86" s="1">
        <v>5.103</v>
      </c>
      <c r="F86" s="1">
        <v>5.267</v>
      </c>
      <c r="G86" s="1">
        <v>0.56044</v>
      </c>
      <c r="H86" s="1">
        <v>0.95434</v>
      </c>
      <c r="I86" s="1">
        <v>0.55449</v>
      </c>
      <c r="J86" s="1">
        <v>0.40212</v>
      </c>
      <c r="K86" s="1">
        <v>0.04762</v>
      </c>
      <c r="L86" s="1">
        <v>0.38432</v>
      </c>
      <c r="M86" s="1">
        <v>2.28136</v>
      </c>
    </row>
    <row r="87">
      <c r="A87" s="1" t="s">
        <v>108</v>
      </c>
      <c r="B87" s="1" t="s">
        <v>46</v>
      </c>
      <c r="C87" s="1">
        <v>86.0</v>
      </c>
      <c r="D87" s="1">
        <v>5.177</v>
      </c>
      <c r="E87" s="1">
        <v>5.083</v>
      </c>
      <c r="F87" s="1">
        <v>5.271</v>
      </c>
      <c r="G87" s="1">
        <v>1.03437</v>
      </c>
      <c r="H87" s="1">
        <v>0.81329</v>
      </c>
      <c r="I87" s="1">
        <v>0.6458</v>
      </c>
      <c r="J87" s="1">
        <v>0.15718</v>
      </c>
      <c r="K87" s="1">
        <v>0.04339</v>
      </c>
      <c r="L87" s="1">
        <v>0.20737</v>
      </c>
      <c r="M87" s="1">
        <v>2.27539</v>
      </c>
    </row>
    <row r="88">
      <c r="A88" s="1" t="s">
        <v>109</v>
      </c>
      <c r="B88" s="1" t="s">
        <v>46</v>
      </c>
      <c r="C88" s="1">
        <v>87.0</v>
      </c>
      <c r="D88" s="1">
        <v>5.163</v>
      </c>
      <c r="E88" s="1">
        <v>5.063</v>
      </c>
      <c r="F88" s="1">
        <v>5.263</v>
      </c>
      <c r="G88" s="1">
        <v>0.93383</v>
      </c>
      <c r="H88" s="1">
        <v>0.64367</v>
      </c>
      <c r="I88" s="1">
        <v>0.70766</v>
      </c>
      <c r="J88" s="1">
        <v>0.09511</v>
      </c>
      <c r="K88" s="1">
        <v>0.0</v>
      </c>
      <c r="L88" s="1">
        <v>0.29889</v>
      </c>
      <c r="M88" s="1">
        <v>2.48406</v>
      </c>
    </row>
    <row r="89">
      <c r="A89" s="1" t="s">
        <v>110</v>
      </c>
      <c r="B89" s="1" t="s">
        <v>46</v>
      </c>
      <c r="C89" s="1">
        <v>88.0</v>
      </c>
      <c r="D89" s="1">
        <v>5.161</v>
      </c>
      <c r="E89" s="1">
        <v>5.055</v>
      </c>
      <c r="F89" s="1">
        <v>5.267</v>
      </c>
      <c r="G89" s="1">
        <v>1.07838</v>
      </c>
      <c r="H89" s="1">
        <v>0.74173</v>
      </c>
      <c r="I89" s="1">
        <v>0.63533</v>
      </c>
      <c r="J89" s="1">
        <v>0.15111</v>
      </c>
      <c r="K89" s="1">
        <v>0.12721</v>
      </c>
      <c r="L89" s="1">
        <v>0.17191</v>
      </c>
      <c r="M89" s="1">
        <v>2.25531</v>
      </c>
    </row>
    <row r="90">
      <c r="A90" s="1" t="s">
        <v>111</v>
      </c>
      <c r="B90" s="1" t="s">
        <v>31</v>
      </c>
      <c r="C90" s="1">
        <v>89.0</v>
      </c>
      <c r="D90" s="1">
        <v>5.155</v>
      </c>
      <c r="E90" s="1">
        <v>5.037</v>
      </c>
      <c r="F90" s="1">
        <v>5.273</v>
      </c>
      <c r="G90" s="1">
        <v>1.02787</v>
      </c>
      <c r="H90" s="1">
        <v>0.99496</v>
      </c>
      <c r="I90" s="1">
        <v>0.57669</v>
      </c>
      <c r="J90" s="1">
        <v>0.52259</v>
      </c>
      <c r="K90" s="1">
        <v>0.12372</v>
      </c>
      <c r="L90" s="1">
        <v>0.21286</v>
      </c>
      <c r="M90" s="1">
        <v>1.69626</v>
      </c>
    </row>
    <row r="91">
      <c r="A91" s="1" t="s">
        <v>112</v>
      </c>
      <c r="B91" s="1" t="s">
        <v>27</v>
      </c>
      <c r="C91" s="1">
        <v>90.0</v>
      </c>
      <c r="D91" s="1">
        <v>5.151</v>
      </c>
      <c r="E91" s="1">
        <v>5.058</v>
      </c>
      <c r="F91" s="1">
        <v>5.244</v>
      </c>
      <c r="G91" s="1">
        <v>0.84058</v>
      </c>
      <c r="H91" s="1">
        <v>0.38595</v>
      </c>
      <c r="I91" s="1">
        <v>0.59471</v>
      </c>
      <c r="J91" s="1">
        <v>0.25646</v>
      </c>
      <c r="K91" s="1">
        <v>0.08404</v>
      </c>
      <c r="L91" s="1">
        <v>0.04053</v>
      </c>
      <c r="M91" s="1">
        <v>2.94891</v>
      </c>
    </row>
    <row r="92">
      <c r="A92" s="1" t="s">
        <v>113</v>
      </c>
      <c r="B92" s="1" t="s">
        <v>46</v>
      </c>
      <c r="C92" s="1">
        <v>91.0</v>
      </c>
      <c r="D92" s="1">
        <v>5.145</v>
      </c>
      <c r="E92" s="1">
        <v>5.056</v>
      </c>
      <c r="F92" s="1">
        <v>5.234</v>
      </c>
      <c r="G92" s="1">
        <v>1.24142</v>
      </c>
      <c r="H92" s="1">
        <v>0.93164</v>
      </c>
      <c r="I92" s="1">
        <v>0.67608</v>
      </c>
      <c r="J92" s="1">
        <v>0.1977</v>
      </c>
      <c r="K92" s="1">
        <v>0.04472</v>
      </c>
      <c r="L92" s="1">
        <v>0.099</v>
      </c>
      <c r="M92" s="1">
        <v>1.95473</v>
      </c>
    </row>
    <row r="93">
      <c r="A93" s="1" t="s">
        <v>114</v>
      </c>
      <c r="B93" s="1" t="s">
        <v>106</v>
      </c>
      <c r="C93" s="1">
        <v>92.0</v>
      </c>
      <c r="D93" s="1">
        <v>5.132</v>
      </c>
      <c r="E93" s="1">
        <v>5.038</v>
      </c>
      <c r="F93" s="1">
        <v>5.226</v>
      </c>
      <c r="G93" s="1">
        <v>0.68816</v>
      </c>
      <c r="H93" s="1">
        <v>0.26135</v>
      </c>
      <c r="I93" s="1">
        <v>0.40306</v>
      </c>
      <c r="J93" s="1">
        <v>0.14622</v>
      </c>
      <c r="K93" s="1">
        <v>0.1388</v>
      </c>
      <c r="L93" s="1">
        <v>0.31185</v>
      </c>
      <c r="M93" s="1">
        <v>3.18286</v>
      </c>
    </row>
    <row r="94">
      <c r="A94" s="1" t="s">
        <v>115</v>
      </c>
      <c r="B94" s="1" t="s">
        <v>27</v>
      </c>
      <c r="C94" s="1">
        <v>93.0</v>
      </c>
      <c r="D94" s="1">
        <v>5.129</v>
      </c>
      <c r="E94" s="1">
        <v>5.031</v>
      </c>
      <c r="F94" s="1">
        <v>5.227</v>
      </c>
      <c r="G94" s="1">
        <v>1.12268</v>
      </c>
      <c r="H94" s="1">
        <v>0.64184</v>
      </c>
      <c r="I94" s="1">
        <v>0.76171</v>
      </c>
      <c r="J94" s="1">
        <v>0.26228</v>
      </c>
      <c r="K94" s="1">
        <v>0.03061</v>
      </c>
      <c r="L94" s="1">
        <v>0.23693</v>
      </c>
      <c r="M94" s="1">
        <v>2.07339</v>
      </c>
    </row>
    <row r="95">
      <c r="A95" s="1" t="s">
        <v>116</v>
      </c>
      <c r="B95" s="1" t="s">
        <v>14</v>
      </c>
      <c r="C95" s="1">
        <v>94.0</v>
      </c>
      <c r="D95" s="1">
        <v>5.123</v>
      </c>
      <c r="E95" s="1">
        <v>5.03</v>
      </c>
      <c r="F95" s="1">
        <v>5.216</v>
      </c>
      <c r="G95" s="1">
        <v>1.27607</v>
      </c>
      <c r="H95" s="1">
        <v>0.94367</v>
      </c>
      <c r="I95" s="1">
        <v>0.79363</v>
      </c>
      <c r="J95" s="1">
        <v>0.44727</v>
      </c>
      <c r="K95" s="1">
        <v>0.01521</v>
      </c>
      <c r="L95" s="1">
        <v>0.11691</v>
      </c>
      <c r="M95" s="1">
        <v>1.53015</v>
      </c>
    </row>
    <row r="96">
      <c r="A96" s="1" t="s">
        <v>117</v>
      </c>
      <c r="B96" s="1" t="s">
        <v>46</v>
      </c>
      <c r="C96" s="1">
        <v>95.0</v>
      </c>
      <c r="D96" s="1">
        <v>5.121</v>
      </c>
      <c r="E96" s="1">
        <v>5.017</v>
      </c>
      <c r="F96" s="1">
        <v>5.225</v>
      </c>
      <c r="G96" s="1">
        <v>1.0193</v>
      </c>
      <c r="H96" s="1">
        <v>0.78236</v>
      </c>
      <c r="I96" s="1">
        <v>0.64738</v>
      </c>
      <c r="J96" s="1">
        <v>0.27668</v>
      </c>
      <c r="K96" s="1">
        <v>0.07047</v>
      </c>
      <c r="L96" s="1">
        <v>0.23507</v>
      </c>
      <c r="M96" s="1">
        <v>2.08947</v>
      </c>
    </row>
    <row r="97">
      <c r="A97" s="1" t="s">
        <v>118</v>
      </c>
      <c r="B97" s="1" t="s">
        <v>40</v>
      </c>
      <c r="C97" s="1">
        <v>96.0</v>
      </c>
      <c r="D97" s="1">
        <v>5.061</v>
      </c>
      <c r="E97" s="1">
        <v>4.991</v>
      </c>
      <c r="F97" s="1">
        <v>5.131</v>
      </c>
      <c r="G97" s="1">
        <v>0.74037</v>
      </c>
      <c r="H97" s="1">
        <v>0.79117</v>
      </c>
      <c r="I97" s="1">
        <v>0.66157</v>
      </c>
      <c r="J97" s="1">
        <v>0.55954</v>
      </c>
      <c r="K97" s="1">
        <v>0.11556</v>
      </c>
      <c r="L97" s="1">
        <v>0.25075</v>
      </c>
      <c r="M97" s="1">
        <v>1.9418</v>
      </c>
    </row>
    <row r="98">
      <c r="A98" s="1" t="s">
        <v>119</v>
      </c>
      <c r="B98" s="1" t="s">
        <v>87</v>
      </c>
      <c r="C98" s="1">
        <v>97.0</v>
      </c>
      <c r="D98" s="1">
        <v>5.057</v>
      </c>
      <c r="E98" s="1">
        <v>4.934</v>
      </c>
      <c r="F98" s="1">
        <v>5.18</v>
      </c>
      <c r="G98" s="1">
        <v>0.25558</v>
      </c>
      <c r="H98" s="1">
        <v>0.75862</v>
      </c>
      <c r="I98" s="1">
        <v>0.33108</v>
      </c>
      <c r="J98" s="1">
        <v>0.3913</v>
      </c>
      <c r="K98" s="1">
        <v>0.36794</v>
      </c>
      <c r="L98" s="1">
        <v>0.51479</v>
      </c>
      <c r="M98" s="1">
        <v>2.43801</v>
      </c>
    </row>
    <row r="99">
      <c r="A99" s="1" t="s">
        <v>120</v>
      </c>
      <c r="B99" s="1" t="s">
        <v>27</v>
      </c>
      <c r="C99" s="1">
        <v>98.0</v>
      </c>
      <c r="D99" s="1">
        <v>5.045</v>
      </c>
      <c r="E99" s="1">
        <v>4.965</v>
      </c>
      <c r="F99" s="1">
        <v>5.125</v>
      </c>
      <c r="G99" s="1">
        <v>0.97724</v>
      </c>
      <c r="H99" s="1">
        <v>0.43165</v>
      </c>
      <c r="I99" s="1">
        <v>0.59577</v>
      </c>
      <c r="J99" s="1">
        <v>0.23553</v>
      </c>
      <c r="K99" s="1">
        <v>0.0817</v>
      </c>
      <c r="L99" s="1">
        <v>0.03936</v>
      </c>
      <c r="M99" s="1">
        <v>2.68413</v>
      </c>
    </row>
    <row r="100">
      <c r="A100" s="1" t="s">
        <v>121</v>
      </c>
      <c r="B100" s="1" t="s">
        <v>14</v>
      </c>
      <c r="C100" s="1">
        <v>99.0</v>
      </c>
      <c r="D100" s="1">
        <v>5.033</v>
      </c>
      <c r="E100" s="1">
        <v>4.935</v>
      </c>
      <c r="F100" s="1">
        <v>5.131</v>
      </c>
      <c r="G100" s="1">
        <v>1.24886</v>
      </c>
      <c r="H100" s="1">
        <v>0.75473</v>
      </c>
      <c r="I100" s="1">
        <v>0.80029</v>
      </c>
      <c r="J100" s="1">
        <v>0.05822</v>
      </c>
      <c r="K100" s="1">
        <v>0.04127</v>
      </c>
      <c r="L100" s="1">
        <v>0.0</v>
      </c>
      <c r="M100" s="1">
        <v>2.12944</v>
      </c>
    </row>
    <row r="101">
      <c r="A101" s="1" t="s">
        <v>122</v>
      </c>
      <c r="B101" s="1" t="s">
        <v>46</v>
      </c>
      <c r="C101" s="1">
        <v>100.0</v>
      </c>
      <c r="D101" s="1">
        <v>4.996</v>
      </c>
      <c r="E101" s="1">
        <v>4.923</v>
      </c>
      <c r="F101" s="1">
        <v>5.069</v>
      </c>
      <c r="G101" s="1">
        <v>0.48835</v>
      </c>
      <c r="H101" s="1">
        <v>0.75602</v>
      </c>
      <c r="I101" s="1">
        <v>0.53119</v>
      </c>
      <c r="J101" s="1">
        <v>0.43408</v>
      </c>
      <c r="K101" s="1">
        <v>0.13509</v>
      </c>
      <c r="L101" s="1">
        <v>0.25998</v>
      </c>
      <c r="M101" s="1">
        <v>2.39106</v>
      </c>
    </row>
    <row r="102">
      <c r="A102" s="1" t="s">
        <v>123</v>
      </c>
      <c r="B102" s="1" t="s">
        <v>55</v>
      </c>
      <c r="C102" s="1">
        <v>101.0</v>
      </c>
      <c r="D102" s="1">
        <v>4.907</v>
      </c>
      <c r="E102" s="1">
        <v>4.838</v>
      </c>
      <c r="F102" s="1">
        <v>4.976</v>
      </c>
      <c r="G102" s="1">
        <v>0.98853</v>
      </c>
      <c r="H102" s="1">
        <v>1.08983</v>
      </c>
      <c r="I102" s="1">
        <v>0.55469</v>
      </c>
      <c r="J102" s="1">
        <v>0.35972</v>
      </c>
      <c r="K102" s="1">
        <v>0.03285</v>
      </c>
      <c r="L102" s="1">
        <v>0.34539</v>
      </c>
      <c r="M102" s="1">
        <v>1.53586</v>
      </c>
    </row>
    <row r="103">
      <c r="A103" s="1" t="s">
        <v>124</v>
      </c>
      <c r="B103" s="1" t="s">
        <v>40</v>
      </c>
      <c r="C103" s="1">
        <v>102.0</v>
      </c>
      <c r="D103" s="1">
        <v>4.876</v>
      </c>
      <c r="E103" s="1">
        <v>4.742</v>
      </c>
      <c r="F103" s="1">
        <v>5.01</v>
      </c>
      <c r="G103" s="1">
        <v>0.68042</v>
      </c>
      <c r="H103" s="1">
        <v>0.5497</v>
      </c>
      <c r="I103" s="1">
        <v>0.38291</v>
      </c>
      <c r="J103" s="1">
        <v>0.52168</v>
      </c>
      <c r="K103" s="1">
        <v>0.22423</v>
      </c>
      <c r="L103" s="1">
        <v>0.43079</v>
      </c>
      <c r="M103" s="1">
        <v>2.08637</v>
      </c>
    </row>
    <row r="104">
      <c r="A104" s="1" t="s">
        <v>125</v>
      </c>
      <c r="B104" s="1" t="s">
        <v>87</v>
      </c>
      <c r="C104" s="1">
        <v>103.0</v>
      </c>
      <c r="D104" s="1">
        <v>4.875</v>
      </c>
      <c r="E104" s="1">
        <v>4.75</v>
      </c>
      <c r="F104" s="1">
        <v>5.0</v>
      </c>
      <c r="G104" s="1">
        <v>0.75216</v>
      </c>
      <c r="H104" s="1">
        <v>0.64498</v>
      </c>
      <c r="I104" s="1">
        <v>0.05108</v>
      </c>
      <c r="J104" s="1">
        <v>0.27854</v>
      </c>
      <c r="K104" s="1">
        <v>0.0305</v>
      </c>
      <c r="L104" s="1">
        <v>0.23219</v>
      </c>
      <c r="M104" s="1">
        <v>2.88586</v>
      </c>
    </row>
    <row r="105">
      <c r="A105" s="1" t="s">
        <v>126</v>
      </c>
      <c r="B105" s="1" t="s">
        <v>31</v>
      </c>
      <c r="C105" s="1">
        <v>104.0</v>
      </c>
      <c r="D105" s="1">
        <v>4.871</v>
      </c>
      <c r="E105" s="1">
        <v>4.75</v>
      </c>
      <c r="F105" s="1">
        <v>4.992</v>
      </c>
      <c r="G105" s="1">
        <v>0.69429</v>
      </c>
      <c r="H105" s="1">
        <v>0.75596</v>
      </c>
      <c r="I105" s="1">
        <v>0.58383</v>
      </c>
      <c r="J105" s="1">
        <v>0.26755</v>
      </c>
      <c r="K105" s="1">
        <v>0.06906</v>
      </c>
      <c r="L105" s="1">
        <v>0.2044</v>
      </c>
      <c r="M105" s="1">
        <v>2.29551</v>
      </c>
    </row>
    <row r="106">
      <c r="A106" s="1" t="s">
        <v>127</v>
      </c>
      <c r="B106" s="1" t="s">
        <v>27</v>
      </c>
      <c r="C106" s="1">
        <v>105.0</v>
      </c>
      <c r="D106" s="1">
        <v>4.813</v>
      </c>
      <c r="E106" s="1">
        <v>4.703</v>
      </c>
      <c r="F106" s="1">
        <v>4.923</v>
      </c>
      <c r="G106" s="1">
        <v>1.11758</v>
      </c>
      <c r="H106" s="1">
        <v>0.38857</v>
      </c>
      <c r="I106" s="1">
        <v>0.64232</v>
      </c>
      <c r="J106" s="1">
        <v>0.22544</v>
      </c>
      <c r="K106" s="1">
        <v>0.0557</v>
      </c>
      <c r="L106" s="1">
        <v>0.38538</v>
      </c>
      <c r="M106" s="1">
        <v>1.99817</v>
      </c>
    </row>
    <row r="107">
      <c r="A107" s="1" t="s">
        <v>128</v>
      </c>
      <c r="B107" s="1" t="s">
        <v>87</v>
      </c>
      <c r="C107" s="1">
        <v>106.0</v>
      </c>
      <c r="D107" s="1">
        <v>4.795</v>
      </c>
      <c r="E107" s="1">
        <v>4.645</v>
      </c>
      <c r="F107" s="1">
        <v>4.945</v>
      </c>
      <c r="G107" s="1">
        <v>0.61202</v>
      </c>
      <c r="H107" s="1">
        <v>0.6376</v>
      </c>
      <c r="I107" s="1">
        <v>0.23573</v>
      </c>
      <c r="J107" s="1">
        <v>0.42662</v>
      </c>
      <c r="K107" s="1">
        <v>0.11479</v>
      </c>
      <c r="L107" s="1">
        <v>0.17866</v>
      </c>
      <c r="M107" s="1">
        <v>2.58991</v>
      </c>
    </row>
    <row r="108">
      <c r="A108" s="1" t="s">
        <v>129</v>
      </c>
      <c r="B108" s="1" t="s">
        <v>106</v>
      </c>
      <c r="C108" s="1">
        <v>107.0</v>
      </c>
      <c r="D108" s="1">
        <v>4.793</v>
      </c>
      <c r="E108" s="1">
        <v>4.698</v>
      </c>
      <c r="F108" s="1">
        <v>4.888</v>
      </c>
      <c r="G108" s="1">
        <v>0.44626</v>
      </c>
      <c r="H108" s="1">
        <v>0.69699</v>
      </c>
      <c r="I108" s="1">
        <v>0.50073</v>
      </c>
      <c r="J108" s="1">
        <v>0.37012</v>
      </c>
      <c r="K108" s="1">
        <v>0.07008</v>
      </c>
      <c r="L108" s="1">
        <v>0.3816</v>
      </c>
      <c r="M108" s="1">
        <v>2.32694</v>
      </c>
    </row>
    <row r="109">
      <c r="A109" s="1" t="s">
        <v>130</v>
      </c>
      <c r="B109" s="1" t="s">
        <v>27</v>
      </c>
      <c r="C109" s="1">
        <v>108.0</v>
      </c>
      <c r="D109" s="1">
        <v>4.754</v>
      </c>
      <c r="E109" s="1">
        <v>4.649</v>
      </c>
      <c r="F109" s="1">
        <v>4.859</v>
      </c>
      <c r="G109" s="1">
        <v>0.67024</v>
      </c>
      <c r="H109" s="1">
        <v>0.71629</v>
      </c>
      <c r="I109" s="1">
        <v>0.56844</v>
      </c>
      <c r="J109" s="1">
        <v>0.17744</v>
      </c>
      <c r="K109" s="1">
        <v>0.10613</v>
      </c>
      <c r="L109" s="1">
        <v>0.11154</v>
      </c>
      <c r="M109" s="1">
        <v>2.40364</v>
      </c>
    </row>
    <row r="110">
      <c r="A110" s="1" t="s">
        <v>131</v>
      </c>
      <c r="B110" s="1" t="s">
        <v>46</v>
      </c>
      <c r="C110" s="1">
        <v>109.0</v>
      </c>
      <c r="D110" s="1">
        <v>4.655</v>
      </c>
      <c r="E110" s="1">
        <v>4.546</v>
      </c>
      <c r="F110" s="1">
        <v>4.764</v>
      </c>
      <c r="G110" s="1">
        <v>0.9553</v>
      </c>
      <c r="H110" s="1">
        <v>0.50163</v>
      </c>
      <c r="I110" s="1">
        <v>0.73007</v>
      </c>
      <c r="J110" s="1">
        <v>0.31866</v>
      </c>
      <c r="K110" s="1">
        <v>0.05301</v>
      </c>
      <c r="L110" s="1">
        <v>0.1684</v>
      </c>
      <c r="M110" s="1">
        <v>1.92816</v>
      </c>
    </row>
    <row r="111">
      <c r="A111" s="1" t="s">
        <v>132</v>
      </c>
      <c r="B111" s="1" t="s">
        <v>106</v>
      </c>
      <c r="C111" s="1">
        <v>110.0</v>
      </c>
      <c r="D111" s="1">
        <v>4.643</v>
      </c>
      <c r="E111" s="1">
        <v>4.56</v>
      </c>
      <c r="F111" s="1">
        <v>4.726</v>
      </c>
      <c r="G111" s="1">
        <v>0.54177</v>
      </c>
      <c r="H111" s="1">
        <v>0.24749</v>
      </c>
      <c r="I111" s="1">
        <v>0.52989</v>
      </c>
      <c r="J111" s="1">
        <v>0.39778</v>
      </c>
      <c r="K111" s="1">
        <v>0.12583</v>
      </c>
      <c r="L111" s="1">
        <v>0.19132</v>
      </c>
      <c r="M111" s="1">
        <v>2.60904</v>
      </c>
    </row>
    <row r="112">
      <c r="A112" s="1" t="s">
        <v>133</v>
      </c>
      <c r="B112" s="1" t="s">
        <v>87</v>
      </c>
      <c r="C112" s="1">
        <v>111.0</v>
      </c>
      <c r="D112" s="1">
        <v>4.635</v>
      </c>
      <c r="E112" s="1">
        <v>4.505</v>
      </c>
      <c r="F112" s="1">
        <v>4.765</v>
      </c>
      <c r="G112" s="1">
        <v>0.36485</v>
      </c>
      <c r="H112" s="1">
        <v>0.628</v>
      </c>
      <c r="I112" s="1">
        <v>0.0</v>
      </c>
      <c r="J112" s="1">
        <v>0.30685</v>
      </c>
      <c r="K112" s="1">
        <v>0.08196</v>
      </c>
      <c r="L112" s="1">
        <v>0.23897</v>
      </c>
      <c r="M112" s="1">
        <v>3.01402</v>
      </c>
    </row>
    <row r="113">
      <c r="A113" s="1" t="s">
        <v>134</v>
      </c>
      <c r="B113" s="1" t="s">
        <v>27</v>
      </c>
      <c r="C113" s="1">
        <v>112.0</v>
      </c>
      <c r="D113" s="1">
        <v>4.575</v>
      </c>
      <c r="E113" s="1">
        <v>4.446</v>
      </c>
      <c r="F113" s="1">
        <v>4.704</v>
      </c>
      <c r="G113" s="1">
        <v>1.07474</v>
      </c>
      <c r="H113" s="1">
        <v>0.59205</v>
      </c>
      <c r="I113" s="1">
        <v>0.51076</v>
      </c>
      <c r="J113" s="1">
        <v>0.24856</v>
      </c>
      <c r="K113" s="1">
        <v>0.13636</v>
      </c>
      <c r="L113" s="1">
        <v>0.19589</v>
      </c>
      <c r="M113" s="1">
        <v>1.81657</v>
      </c>
    </row>
    <row r="114">
      <c r="A114" s="1" t="s">
        <v>135</v>
      </c>
      <c r="B114" s="1" t="s">
        <v>87</v>
      </c>
      <c r="C114" s="1">
        <v>113.0</v>
      </c>
      <c r="D114" s="1">
        <v>4.574</v>
      </c>
      <c r="E114" s="1">
        <v>4.374</v>
      </c>
      <c r="F114" s="1">
        <v>4.774</v>
      </c>
      <c r="G114" s="1">
        <v>0.93287</v>
      </c>
      <c r="H114" s="1">
        <v>0.70362</v>
      </c>
      <c r="I114" s="1">
        <v>0.34745</v>
      </c>
      <c r="J114" s="1">
        <v>0.48614</v>
      </c>
      <c r="K114" s="1">
        <v>0.10398</v>
      </c>
      <c r="L114" s="1">
        <v>0.07795</v>
      </c>
      <c r="M114" s="1">
        <v>1.92198</v>
      </c>
    </row>
    <row r="115">
      <c r="A115" s="1" t="s">
        <v>136</v>
      </c>
      <c r="B115" s="1" t="s">
        <v>87</v>
      </c>
      <c r="C115" s="1">
        <v>114.0</v>
      </c>
      <c r="D115" s="1">
        <v>4.513</v>
      </c>
      <c r="E115" s="1">
        <v>4.417</v>
      </c>
      <c r="F115" s="1">
        <v>4.609</v>
      </c>
      <c r="G115" s="1">
        <v>0.52497</v>
      </c>
      <c r="H115" s="1">
        <v>0.62542</v>
      </c>
      <c r="I115" s="1">
        <v>0.12698</v>
      </c>
      <c r="J115" s="1">
        <v>0.42736</v>
      </c>
      <c r="K115" s="1">
        <v>0.06126</v>
      </c>
      <c r="L115" s="1">
        <v>0.2268</v>
      </c>
      <c r="M115" s="1">
        <v>2.5198</v>
      </c>
    </row>
    <row r="116">
      <c r="A116" s="1" t="s">
        <v>137</v>
      </c>
      <c r="B116" s="1" t="s">
        <v>87</v>
      </c>
      <c r="C116" s="1">
        <v>115.0</v>
      </c>
      <c r="D116" s="1">
        <v>4.508</v>
      </c>
      <c r="E116" s="1">
        <v>4.425</v>
      </c>
      <c r="F116" s="1">
        <v>4.591</v>
      </c>
      <c r="G116" s="1">
        <v>0.29283</v>
      </c>
      <c r="H116" s="1">
        <v>0.37932</v>
      </c>
      <c r="I116" s="1">
        <v>0.34578</v>
      </c>
      <c r="J116" s="1">
        <v>0.36703</v>
      </c>
      <c r="K116" s="1">
        <v>0.1717</v>
      </c>
      <c r="L116" s="1">
        <v>0.29522</v>
      </c>
      <c r="M116" s="1">
        <v>2.65614</v>
      </c>
    </row>
    <row r="117">
      <c r="A117" s="1" t="s">
        <v>138</v>
      </c>
      <c r="B117" s="1" t="s">
        <v>87</v>
      </c>
      <c r="C117" s="1">
        <v>116.0</v>
      </c>
      <c r="D117" s="1">
        <v>4.459</v>
      </c>
      <c r="E117" s="1">
        <v>4.371</v>
      </c>
      <c r="F117" s="1">
        <v>4.547</v>
      </c>
      <c r="G117" s="1">
        <v>1.02416</v>
      </c>
      <c r="H117" s="1">
        <v>0.96053</v>
      </c>
      <c r="I117" s="1">
        <v>0.18611</v>
      </c>
      <c r="J117" s="1">
        <v>0.42483</v>
      </c>
      <c r="K117" s="1">
        <v>0.08415</v>
      </c>
      <c r="L117" s="1">
        <v>0.13656</v>
      </c>
      <c r="M117" s="1">
        <v>1.64227</v>
      </c>
    </row>
    <row r="118">
      <c r="A118" s="1" t="s">
        <v>139</v>
      </c>
      <c r="B118" s="1" t="s">
        <v>106</v>
      </c>
      <c r="C118" s="1">
        <v>117.0</v>
      </c>
      <c r="D118" s="1">
        <v>4.415</v>
      </c>
      <c r="E118" s="1">
        <v>4.322</v>
      </c>
      <c r="F118" s="1">
        <v>4.508</v>
      </c>
      <c r="G118" s="1">
        <v>0.97318</v>
      </c>
      <c r="H118" s="1">
        <v>0.84783</v>
      </c>
      <c r="I118" s="1">
        <v>0.62007</v>
      </c>
      <c r="J118" s="1">
        <v>0.50817</v>
      </c>
      <c r="K118" s="1">
        <v>0.07964</v>
      </c>
      <c r="L118" s="1">
        <v>0.46978</v>
      </c>
      <c r="M118" s="1">
        <v>0.91681</v>
      </c>
    </row>
    <row r="119">
      <c r="A119" s="1" t="s">
        <v>140</v>
      </c>
      <c r="B119" s="1" t="s">
        <v>106</v>
      </c>
      <c r="C119" s="1">
        <v>118.0</v>
      </c>
      <c r="D119" s="1">
        <v>4.404</v>
      </c>
      <c r="E119" s="1">
        <v>4.351</v>
      </c>
      <c r="F119" s="1">
        <v>4.457</v>
      </c>
      <c r="G119" s="1">
        <v>0.74036</v>
      </c>
      <c r="H119" s="1">
        <v>0.29247</v>
      </c>
      <c r="I119" s="1">
        <v>0.45091</v>
      </c>
      <c r="J119" s="1">
        <v>0.40285</v>
      </c>
      <c r="K119" s="1">
        <v>0.08722</v>
      </c>
      <c r="L119" s="1">
        <v>0.25028</v>
      </c>
      <c r="M119" s="1">
        <v>2.18032</v>
      </c>
    </row>
    <row r="120">
      <c r="A120" s="1" t="s">
        <v>141</v>
      </c>
      <c r="B120" s="1" t="s">
        <v>40</v>
      </c>
      <c r="C120" s="1">
        <v>119.0</v>
      </c>
      <c r="D120" s="1">
        <v>4.395</v>
      </c>
      <c r="E120" s="1">
        <v>4.327</v>
      </c>
      <c r="F120" s="1">
        <v>4.463</v>
      </c>
      <c r="G120" s="1">
        <v>0.34112</v>
      </c>
      <c r="H120" s="1">
        <v>0.69981</v>
      </c>
      <c r="I120" s="1">
        <v>0.3988</v>
      </c>
      <c r="J120" s="1">
        <v>0.42692</v>
      </c>
      <c r="K120" s="1">
        <v>0.20243</v>
      </c>
      <c r="L120" s="1">
        <v>0.81971</v>
      </c>
      <c r="M120" s="1">
        <v>1.50655</v>
      </c>
    </row>
    <row r="121">
      <c r="A121" s="1" t="s">
        <v>142</v>
      </c>
      <c r="B121" s="1" t="s">
        <v>27</v>
      </c>
      <c r="C121" s="1">
        <v>120.0</v>
      </c>
      <c r="D121" s="1">
        <v>4.362</v>
      </c>
      <c r="E121" s="1">
        <v>4.259</v>
      </c>
      <c r="F121" s="1">
        <v>4.465</v>
      </c>
      <c r="G121" s="1">
        <v>0.95395</v>
      </c>
      <c r="H121" s="1">
        <v>0.49813</v>
      </c>
      <c r="I121" s="1">
        <v>0.52116</v>
      </c>
      <c r="J121" s="1">
        <v>0.18847</v>
      </c>
      <c r="K121" s="1">
        <v>0.10393</v>
      </c>
      <c r="L121" s="1">
        <v>0.12706</v>
      </c>
      <c r="M121" s="1">
        <v>1.96895</v>
      </c>
    </row>
    <row r="122">
      <c r="A122" s="1" t="s">
        <v>143</v>
      </c>
      <c r="B122" s="1" t="s">
        <v>46</v>
      </c>
      <c r="C122" s="1">
        <v>121.0</v>
      </c>
      <c r="D122" s="1">
        <v>4.36</v>
      </c>
      <c r="E122" s="1">
        <v>4.266</v>
      </c>
      <c r="F122" s="1">
        <v>4.454</v>
      </c>
      <c r="G122" s="1">
        <v>0.86086</v>
      </c>
      <c r="H122" s="1">
        <v>0.62477</v>
      </c>
      <c r="I122" s="1">
        <v>0.64083</v>
      </c>
      <c r="J122" s="1">
        <v>0.14037</v>
      </c>
      <c r="K122" s="1">
        <v>0.03616</v>
      </c>
      <c r="L122" s="1">
        <v>0.07793</v>
      </c>
      <c r="M122" s="1">
        <v>1.97864</v>
      </c>
    </row>
    <row r="123">
      <c r="A123" s="1" t="s">
        <v>144</v>
      </c>
      <c r="B123" s="1" t="s">
        <v>87</v>
      </c>
      <c r="C123" s="1">
        <v>122.0</v>
      </c>
      <c r="D123" s="1">
        <v>4.356</v>
      </c>
      <c r="E123" s="1">
        <v>4.259</v>
      </c>
      <c r="F123" s="1">
        <v>4.453</v>
      </c>
      <c r="G123" s="1">
        <v>0.52267</v>
      </c>
      <c r="H123" s="1">
        <v>0.7624</v>
      </c>
      <c r="I123" s="1">
        <v>0.30147</v>
      </c>
      <c r="J123" s="1">
        <v>0.40576</v>
      </c>
      <c r="K123" s="1">
        <v>0.06686</v>
      </c>
      <c r="L123" s="1">
        <v>0.41328</v>
      </c>
      <c r="M123" s="1">
        <v>1.88326</v>
      </c>
    </row>
    <row r="124">
      <c r="A124" s="1" t="s">
        <v>145</v>
      </c>
      <c r="B124" s="1" t="s">
        <v>46</v>
      </c>
      <c r="C124" s="1">
        <v>123.0</v>
      </c>
      <c r="D124" s="1">
        <v>4.324</v>
      </c>
      <c r="E124" s="1">
        <v>4.236</v>
      </c>
      <c r="F124" s="1">
        <v>4.412</v>
      </c>
      <c r="G124" s="1">
        <v>0.87287</v>
      </c>
      <c r="H124" s="1">
        <v>1.01413</v>
      </c>
      <c r="I124" s="1">
        <v>0.58628</v>
      </c>
      <c r="J124" s="1">
        <v>0.12859</v>
      </c>
      <c r="K124" s="1">
        <v>0.01829</v>
      </c>
      <c r="L124" s="1">
        <v>0.20363</v>
      </c>
      <c r="M124" s="1">
        <v>1.50066</v>
      </c>
    </row>
    <row r="125">
      <c r="A125" s="1" t="s">
        <v>146</v>
      </c>
      <c r="B125" s="1" t="s">
        <v>87</v>
      </c>
      <c r="C125" s="1">
        <v>124.0</v>
      </c>
      <c r="D125" s="1">
        <v>4.276</v>
      </c>
      <c r="E125" s="1">
        <v>4.185</v>
      </c>
      <c r="F125" s="1">
        <v>4.367</v>
      </c>
      <c r="G125" s="1">
        <v>0.63107</v>
      </c>
      <c r="H125" s="1">
        <v>0.49353</v>
      </c>
      <c r="I125" s="1">
        <v>0.29681</v>
      </c>
      <c r="J125" s="1">
        <v>0.40973</v>
      </c>
      <c r="K125" s="1">
        <v>0.0326</v>
      </c>
      <c r="L125" s="1">
        <v>0.21203</v>
      </c>
      <c r="M125" s="1">
        <v>2.2002</v>
      </c>
    </row>
    <row r="126">
      <c r="A126" s="1" t="s">
        <v>147</v>
      </c>
      <c r="B126" s="1" t="s">
        <v>87</v>
      </c>
      <c r="C126" s="1">
        <v>125.0</v>
      </c>
      <c r="D126" s="1">
        <v>4.272</v>
      </c>
      <c r="E126" s="1">
        <v>4.191</v>
      </c>
      <c r="F126" s="1">
        <v>4.353</v>
      </c>
      <c r="G126" s="1">
        <v>0.05661</v>
      </c>
      <c r="H126" s="1">
        <v>0.80676</v>
      </c>
      <c r="I126" s="1">
        <v>0.188</v>
      </c>
      <c r="J126" s="1">
        <v>0.15602</v>
      </c>
      <c r="K126" s="1">
        <v>0.06075</v>
      </c>
      <c r="L126" s="1">
        <v>0.25458</v>
      </c>
      <c r="M126" s="1">
        <v>2.74924</v>
      </c>
    </row>
    <row r="127">
      <c r="A127" s="1" t="s">
        <v>148</v>
      </c>
      <c r="B127" s="1" t="s">
        <v>46</v>
      </c>
      <c r="C127" s="1">
        <v>126.0</v>
      </c>
      <c r="D127" s="1">
        <v>4.252</v>
      </c>
      <c r="E127" s="1">
        <v>4.164</v>
      </c>
      <c r="F127" s="1">
        <v>4.34</v>
      </c>
      <c r="G127" s="1">
        <v>0.83792</v>
      </c>
      <c r="H127" s="1">
        <v>0.19249</v>
      </c>
      <c r="I127" s="1">
        <v>0.64035</v>
      </c>
      <c r="J127" s="1">
        <v>0.32461</v>
      </c>
      <c r="K127" s="1">
        <v>0.3188</v>
      </c>
      <c r="L127" s="1">
        <v>0.06786</v>
      </c>
      <c r="M127" s="1">
        <v>1.87031</v>
      </c>
    </row>
    <row r="128">
      <c r="A128" s="1" t="s">
        <v>149</v>
      </c>
      <c r="B128" s="1" t="s">
        <v>87</v>
      </c>
      <c r="C128" s="1">
        <v>127.0</v>
      </c>
      <c r="D128" s="1">
        <v>4.236</v>
      </c>
      <c r="E128" s="1">
        <v>4.107</v>
      </c>
      <c r="F128" s="1">
        <v>4.365</v>
      </c>
      <c r="G128" s="1">
        <v>0.77109</v>
      </c>
      <c r="H128" s="1">
        <v>0.47799</v>
      </c>
      <c r="I128" s="1">
        <v>0.28212</v>
      </c>
      <c r="J128" s="1">
        <v>0.37938</v>
      </c>
      <c r="K128" s="1">
        <v>0.09753</v>
      </c>
      <c r="L128" s="1">
        <v>0.12077</v>
      </c>
      <c r="M128" s="1">
        <v>2.10681</v>
      </c>
    </row>
    <row r="129">
      <c r="A129" s="1" t="s">
        <v>150</v>
      </c>
      <c r="B129" s="1" t="s">
        <v>87</v>
      </c>
      <c r="C129" s="1">
        <v>128.0</v>
      </c>
      <c r="D129" s="1">
        <v>4.219</v>
      </c>
      <c r="E129" s="1">
        <v>4.151</v>
      </c>
      <c r="F129" s="1">
        <v>4.287</v>
      </c>
      <c r="G129" s="1">
        <v>0.44314</v>
      </c>
      <c r="H129" s="1">
        <v>0.77416</v>
      </c>
      <c r="I129" s="1">
        <v>0.40457</v>
      </c>
      <c r="J129" s="1">
        <v>0.31056</v>
      </c>
      <c r="K129" s="1">
        <v>0.11681</v>
      </c>
      <c r="L129" s="1">
        <v>0.19103</v>
      </c>
      <c r="M129" s="1">
        <v>1.97861</v>
      </c>
    </row>
    <row r="130">
      <c r="A130" s="1" t="s">
        <v>151</v>
      </c>
      <c r="B130" s="1" t="s">
        <v>46</v>
      </c>
      <c r="C130" s="1">
        <v>129.0</v>
      </c>
      <c r="D130" s="1">
        <v>4.217</v>
      </c>
      <c r="E130" s="1">
        <v>4.104</v>
      </c>
      <c r="F130" s="1">
        <v>4.33</v>
      </c>
      <c r="G130" s="1">
        <v>1.11306</v>
      </c>
      <c r="H130" s="1">
        <v>0.92542</v>
      </c>
      <c r="I130" s="1">
        <v>0.67806</v>
      </c>
      <c r="J130" s="1">
        <v>0.21219</v>
      </c>
      <c r="K130" s="1">
        <v>0.00615</v>
      </c>
      <c r="L130" s="1">
        <v>0.12793</v>
      </c>
      <c r="M130" s="1">
        <v>1.15377</v>
      </c>
    </row>
    <row r="131">
      <c r="A131" s="1" t="s">
        <v>152</v>
      </c>
      <c r="B131" s="1" t="s">
        <v>87</v>
      </c>
      <c r="C131" s="1">
        <v>130.0</v>
      </c>
      <c r="D131" s="1">
        <v>4.201</v>
      </c>
      <c r="E131" s="1">
        <v>4.127</v>
      </c>
      <c r="F131" s="1">
        <v>4.275</v>
      </c>
      <c r="G131" s="1">
        <v>0.61391</v>
      </c>
      <c r="H131" s="1">
        <v>0.84142</v>
      </c>
      <c r="I131" s="1">
        <v>0.28639</v>
      </c>
      <c r="J131" s="1">
        <v>0.1268</v>
      </c>
      <c r="K131" s="1">
        <v>0.17955</v>
      </c>
      <c r="L131" s="1">
        <v>0.22686</v>
      </c>
      <c r="M131" s="1">
        <v>1.9263</v>
      </c>
    </row>
    <row r="132">
      <c r="A132" s="1" t="s">
        <v>153</v>
      </c>
      <c r="B132" s="1" t="s">
        <v>87</v>
      </c>
      <c r="C132" s="1">
        <v>131.0</v>
      </c>
      <c r="D132" s="1">
        <v>4.193</v>
      </c>
      <c r="E132" s="1">
        <v>4.101</v>
      </c>
      <c r="F132" s="1">
        <v>4.285</v>
      </c>
      <c r="G132" s="1">
        <v>0.35041</v>
      </c>
      <c r="H132" s="1">
        <v>0.71478</v>
      </c>
      <c r="I132" s="1">
        <v>0.1595</v>
      </c>
      <c r="J132" s="1">
        <v>0.25429</v>
      </c>
      <c r="K132" s="1">
        <v>0.08582</v>
      </c>
      <c r="L132" s="1">
        <v>0.18503</v>
      </c>
      <c r="M132" s="1">
        <v>2.4427</v>
      </c>
    </row>
    <row r="133">
      <c r="A133" s="1" t="s">
        <v>154</v>
      </c>
      <c r="B133" s="1" t="s">
        <v>87</v>
      </c>
      <c r="C133" s="1">
        <v>132.0</v>
      </c>
      <c r="D133" s="1">
        <v>4.156</v>
      </c>
      <c r="E133" s="1">
        <v>4.041</v>
      </c>
      <c r="F133" s="1">
        <v>4.271</v>
      </c>
      <c r="G133" s="1">
        <v>0.08709</v>
      </c>
      <c r="H133" s="1">
        <v>0.147</v>
      </c>
      <c r="I133" s="1">
        <v>0.29364</v>
      </c>
      <c r="J133" s="1">
        <v>0.4143</v>
      </c>
      <c r="K133" s="1">
        <v>0.07564</v>
      </c>
      <c r="L133" s="1">
        <v>0.30968</v>
      </c>
      <c r="M133" s="1">
        <v>2.82859</v>
      </c>
    </row>
    <row r="134">
      <c r="A134" s="1" t="s">
        <v>155</v>
      </c>
      <c r="B134" s="1" t="s">
        <v>87</v>
      </c>
      <c r="C134" s="1">
        <v>133.0</v>
      </c>
      <c r="D134" s="1">
        <v>4.139</v>
      </c>
      <c r="E134" s="1">
        <v>3.928</v>
      </c>
      <c r="F134" s="1">
        <v>4.35</v>
      </c>
      <c r="G134" s="1">
        <v>0.63069</v>
      </c>
      <c r="H134" s="1">
        <v>0.81928</v>
      </c>
      <c r="I134" s="1">
        <v>0.29759</v>
      </c>
      <c r="J134" s="1">
        <v>0.0</v>
      </c>
      <c r="K134" s="1">
        <v>0.10039</v>
      </c>
      <c r="L134" s="1">
        <v>0.18077</v>
      </c>
      <c r="M134" s="1">
        <v>2.10995</v>
      </c>
    </row>
    <row r="135">
      <c r="A135" s="1" t="s">
        <v>156</v>
      </c>
      <c r="B135" s="1" t="s">
        <v>87</v>
      </c>
      <c r="C135" s="1">
        <v>134.0</v>
      </c>
      <c r="D135" s="1">
        <v>4.121</v>
      </c>
      <c r="E135" s="1">
        <v>4.03</v>
      </c>
      <c r="F135" s="1">
        <v>4.212</v>
      </c>
      <c r="G135" s="1">
        <v>1.15851</v>
      </c>
      <c r="H135" s="1">
        <v>0.72368</v>
      </c>
      <c r="I135" s="1">
        <v>0.3494</v>
      </c>
      <c r="J135" s="1">
        <v>0.28098</v>
      </c>
      <c r="K135" s="1">
        <v>0.09314</v>
      </c>
      <c r="L135" s="1">
        <v>0.06244</v>
      </c>
      <c r="M135" s="1">
        <v>1.45332</v>
      </c>
    </row>
    <row r="136">
      <c r="A136" s="1" t="s">
        <v>157</v>
      </c>
      <c r="B136" s="1" t="s">
        <v>87</v>
      </c>
      <c r="C136" s="1">
        <v>135.0</v>
      </c>
      <c r="D136" s="1">
        <v>4.073</v>
      </c>
      <c r="E136" s="1">
        <v>3.988</v>
      </c>
      <c r="F136" s="1">
        <v>4.158</v>
      </c>
      <c r="G136" s="1">
        <v>0.31292</v>
      </c>
      <c r="H136" s="1">
        <v>0.86333</v>
      </c>
      <c r="I136" s="1">
        <v>0.16347</v>
      </c>
      <c r="J136" s="1">
        <v>0.27544</v>
      </c>
      <c r="K136" s="1">
        <v>0.13647</v>
      </c>
      <c r="L136" s="1">
        <v>0.21064</v>
      </c>
      <c r="M136" s="1">
        <v>2.11087</v>
      </c>
    </row>
    <row r="137">
      <c r="A137" s="1" t="s">
        <v>158</v>
      </c>
      <c r="B137" s="1" t="s">
        <v>31</v>
      </c>
      <c r="C137" s="1">
        <v>136.0</v>
      </c>
      <c r="D137" s="1">
        <v>4.028</v>
      </c>
      <c r="E137" s="1">
        <v>3.893</v>
      </c>
      <c r="F137" s="1">
        <v>4.163</v>
      </c>
      <c r="G137" s="1">
        <v>0.34097</v>
      </c>
      <c r="H137" s="1">
        <v>0.29561</v>
      </c>
      <c r="I137" s="1">
        <v>0.27494</v>
      </c>
      <c r="J137" s="1">
        <v>0.12072</v>
      </c>
      <c r="K137" s="1">
        <v>0.14476</v>
      </c>
      <c r="L137" s="1">
        <v>0.47958</v>
      </c>
      <c r="M137" s="1">
        <v>2.37116</v>
      </c>
    </row>
    <row r="138">
      <c r="A138" s="1" t="s">
        <v>159</v>
      </c>
      <c r="B138" s="1" t="s">
        <v>87</v>
      </c>
      <c r="C138" s="1">
        <v>137.0</v>
      </c>
      <c r="D138" s="1">
        <v>3.974</v>
      </c>
      <c r="E138" s="1">
        <v>3.875</v>
      </c>
      <c r="F138" s="1">
        <v>4.073</v>
      </c>
      <c r="G138" s="1">
        <v>1.09426</v>
      </c>
      <c r="H138" s="1">
        <v>0.89186</v>
      </c>
      <c r="I138" s="1">
        <v>0.34752</v>
      </c>
      <c r="J138" s="1">
        <v>0.44089</v>
      </c>
      <c r="K138" s="1">
        <v>0.10769</v>
      </c>
      <c r="L138" s="1">
        <v>0.12425</v>
      </c>
      <c r="M138" s="1">
        <v>0.96741</v>
      </c>
    </row>
    <row r="139">
      <c r="A139" s="1" t="s">
        <v>160</v>
      </c>
      <c r="B139" s="1" t="s">
        <v>87</v>
      </c>
      <c r="C139" s="1">
        <v>138.0</v>
      </c>
      <c r="D139" s="1">
        <v>3.956</v>
      </c>
      <c r="E139" s="1">
        <v>3.86</v>
      </c>
      <c r="F139" s="1">
        <v>4.052</v>
      </c>
      <c r="G139" s="1">
        <v>0.27509</v>
      </c>
      <c r="H139" s="1">
        <v>0.60323</v>
      </c>
      <c r="I139" s="1">
        <v>0.29981</v>
      </c>
      <c r="J139" s="1">
        <v>0.15412</v>
      </c>
      <c r="K139" s="1">
        <v>0.18437</v>
      </c>
      <c r="L139" s="1">
        <v>0.1827</v>
      </c>
      <c r="M139" s="1">
        <v>2.25632</v>
      </c>
    </row>
    <row r="140">
      <c r="A140" s="1" t="s">
        <v>161</v>
      </c>
      <c r="B140" s="1" t="s">
        <v>87</v>
      </c>
      <c r="C140" s="1">
        <v>139.0</v>
      </c>
      <c r="D140" s="1">
        <v>3.916</v>
      </c>
      <c r="E140" s="1">
        <v>3.826</v>
      </c>
      <c r="F140" s="1">
        <v>4.006</v>
      </c>
      <c r="G140" s="1">
        <v>0.55507</v>
      </c>
      <c r="H140" s="1">
        <v>0.57576</v>
      </c>
      <c r="I140" s="1">
        <v>0.04476</v>
      </c>
      <c r="J140" s="1">
        <v>0.40663</v>
      </c>
      <c r="K140" s="1">
        <v>0.1553</v>
      </c>
      <c r="L140" s="1">
        <v>0.20338</v>
      </c>
      <c r="M140" s="1">
        <v>1.97478</v>
      </c>
    </row>
    <row r="141">
      <c r="A141" s="1" t="s">
        <v>162</v>
      </c>
      <c r="B141" s="1" t="s">
        <v>40</v>
      </c>
      <c r="C141" s="1">
        <v>140.0</v>
      </c>
      <c r="D141" s="1">
        <v>3.907</v>
      </c>
      <c r="E141" s="1">
        <v>3.798</v>
      </c>
      <c r="F141" s="1">
        <v>4.016</v>
      </c>
      <c r="G141" s="1">
        <v>0.55604</v>
      </c>
      <c r="H141" s="1">
        <v>0.5375</v>
      </c>
      <c r="I141" s="1">
        <v>0.42494</v>
      </c>
      <c r="J141" s="1">
        <v>0.58852</v>
      </c>
      <c r="K141" s="1">
        <v>0.08092</v>
      </c>
      <c r="L141" s="1">
        <v>0.40339</v>
      </c>
      <c r="M141" s="1">
        <v>1.31573</v>
      </c>
    </row>
    <row r="142">
      <c r="A142" s="1" t="s">
        <v>163</v>
      </c>
      <c r="B142" s="1" t="s">
        <v>87</v>
      </c>
      <c r="C142" s="1">
        <v>141.0</v>
      </c>
      <c r="D142" s="1">
        <v>3.866</v>
      </c>
      <c r="E142" s="1">
        <v>3.753</v>
      </c>
      <c r="F142" s="1">
        <v>3.979</v>
      </c>
      <c r="G142" s="1">
        <v>0.84731</v>
      </c>
      <c r="H142" s="1">
        <v>0.66366</v>
      </c>
      <c r="I142" s="1">
        <v>0.04991</v>
      </c>
      <c r="J142" s="1">
        <v>0.00589</v>
      </c>
      <c r="K142" s="1">
        <v>0.08434</v>
      </c>
      <c r="L142" s="1">
        <v>0.12071</v>
      </c>
      <c r="M142" s="1">
        <v>2.09459</v>
      </c>
    </row>
    <row r="143">
      <c r="A143" s="1" t="s">
        <v>164</v>
      </c>
      <c r="B143" s="1" t="s">
        <v>87</v>
      </c>
      <c r="C143" s="1">
        <v>142.0</v>
      </c>
      <c r="D143" s="1">
        <v>3.856</v>
      </c>
      <c r="E143" s="1">
        <v>3.781</v>
      </c>
      <c r="F143" s="1">
        <v>3.931</v>
      </c>
      <c r="G143" s="1">
        <v>0.1327</v>
      </c>
      <c r="H143" s="1">
        <v>0.6053</v>
      </c>
      <c r="I143" s="1">
        <v>0.26162</v>
      </c>
      <c r="J143" s="1">
        <v>0.38041</v>
      </c>
      <c r="K143" s="1">
        <v>0.17176</v>
      </c>
      <c r="L143" s="1">
        <v>0.2097</v>
      </c>
      <c r="M143" s="1">
        <v>2.09469</v>
      </c>
    </row>
    <row r="144">
      <c r="A144" s="1" t="s">
        <v>165</v>
      </c>
      <c r="B144" s="1" t="s">
        <v>87</v>
      </c>
      <c r="C144" s="1">
        <v>143.0</v>
      </c>
      <c r="D144" s="1">
        <v>3.832</v>
      </c>
      <c r="E144" s="1">
        <v>3.596</v>
      </c>
      <c r="F144" s="1">
        <v>4.068</v>
      </c>
      <c r="G144" s="1">
        <v>0.39394</v>
      </c>
      <c r="H144" s="1">
        <v>0.18519</v>
      </c>
      <c r="I144" s="1">
        <v>0.15781</v>
      </c>
      <c r="J144" s="1">
        <v>0.19662</v>
      </c>
      <c r="K144" s="1">
        <v>0.13015</v>
      </c>
      <c r="L144" s="1">
        <v>0.25899</v>
      </c>
      <c r="M144" s="1">
        <v>2.50929</v>
      </c>
    </row>
    <row r="145">
      <c r="A145" s="1" t="s">
        <v>166</v>
      </c>
      <c r="B145" s="1" t="s">
        <v>87</v>
      </c>
      <c r="C145" s="1">
        <v>144.0</v>
      </c>
      <c r="D145" s="1">
        <v>3.763</v>
      </c>
      <c r="E145" s="1">
        <v>3.672</v>
      </c>
      <c r="F145" s="1">
        <v>3.854</v>
      </c>
      <c r="G145" s="1">
        <v>0.42214</v>
      </c>
      <c r="H145" s="1">
        <v>0.63178</v>
      </c>
      <c r="I145" s="1">
        <v>0.03824</v>
      </c>
      <c r="J145" s="1">
        <v>0.12807</v>
      </c>
      <c r="K145" s="1">
        <v>0.04952</v>
      </c>
      <c r="L145" s="1">
        <v>0.18667</v>
      </c>
      <c r="M145" s="1">
        <v>2.30637</v>
      </c>
    </row>
    <row r="146">
      <c r="A146" s="1" t="s">
        <v>167</v>
      </c>
      <c r="B146" s="1" t="s">
        <v>87</v>
      </c>
      <c r="C146" s="1">
        <v>145.0</v>
      </c>
      <c r="D146" s="1">
        <v>3.739</v>
      </c>
      <c r="E146" s="1">
        <v>3.647</v>
      </c>
      <c r="F146" s="1">
        <v>3.831</v>
      </c>
      <c r="G146" s="1">
        <v>0.31995</v>
      </c>
      <c r="H146" s="1">
        <v>0.63054</v>
      </c>
      <c r="I146" s="1">
        <v>0.21297</v>
      </c>
      <c r="J146" s="1">
        <v>0.3337</v>
      </c>
      <c r="K146" s="1">
        <v>0.12533</v>
      </c>
      <c r="L146" s="1">
        <v>0.24353</v>
      </c>
      <c r="M146" s="1">
        <v>1.87319</v>
      </c>
    </row>
    <row r="147">
      <c r="A147" s="1" t="s">
        <v>168</v>
      </c>
      <c r="B147" s="1" t="s">
        <v>87</v>
      </c>
      <c r="C147" s="1">
        <v>145.0</v>
      </c>
      <c r="D147" s="1">
        <v>3.739</v>
      </c>
      <c r="E147" s="1">
        <v>3.629</v>
      </c>
      <c r="F147" s="1">
        <v>3.849</v>
      </c>
      <c r="G147" s="1">
        <v>0.34719</v>
      </c>
      <c r="H147" s="1">
        <v>0.90981</v>
      </c>
      <c r="I147" s="1">
        <v>0.19625</v>
      </c>
      <c r="J147" s="1">
        <v>0.43653</v>
      </c>
      <c r="K147" s="1">
        <v>0.06442</v>
      </c>
      <c r="L147" s="1">
        <v>0.27102</v>
      </c>
      <c r="M147" s="1">
        <v>1.51416</v>
      </c>
    </row>
    <row r="148">
      <c r="A148" s="1" t="s">
        <v>169</v>
      </c>
      <c r="B148" s="1" t="s">
        <v>27</v>
      </c>
      <c r="C148" s="1">
        <v>147.0</v>
      </c>
      <c r="D148" s="1">
        <v>3.724</v>
      </c>
      <c r="E148" s="1">
        <v>3.621</v>
      </c>
      <c r="F148" s="1">
        <v>3.827</v>
      </c>
      <c r="G148" s="1">
        <v>0.57939</v>
      </c>
      <c r="H148" s="1">
        <v>0.47493</v>
      </c>
      <c r="I148" s="1">
        <v>0.31048</v>
      </c>
      <c r="J148" s="1">
        <v>0.2287</v>
      </c>
      <c r="K148" s="1">
        <v>0.05892</v>
      </c>
      <c r="L148" s="1">
        <v>0.09821</v>
      </c>
      <c r="M148" s="1">
        <v>1.97295</v>
      </c>
    </row>
    <row r="149">
      <c r="A149" s="1" t="s">
        <v>170</v>
      </c>
      <c r="B149" s="1" t="s">
        <v>87</v>
      </c>
      <c r="C149" s="1">
        <v>148.0</v>
      </c>
      <c r="D149" s="1">
        <v>3.695</v>
      </c>
      <c r="E149" s="1">
        <v>3.621</v>
      </c>
      <c r="F149" s="1">
        <v>3.769</v>
      </c>
      <c r="G149" s="1">
        <v>0.27954</v>
      </c>
      <c r="H149" s="1">
        <v>0.46115</v>
      </c>
      <c r="I149" s="1">
        <v>0.37109</v>
      </c>
      <c r="J149" s="1">
        <v>0.13684</v>
      </c>
      <c r="K149" s="1">
        <v>0.07506</v>
      </c>
      <c r="L149" s="1">
        <v>0.2204</v>
      </c>
      <c r="M149" s="1">
        <v>2.15075</v>
      </c>
    </row>
    <row r="150">
      <c r="A150" s="1" t="s">
        <v>171</v>
      </c>
      <c r="B150" s="1" t="s">
        <v>87</v>
      </c>
      <c r="C150" s="1">
        <v>149.0</v>
      </c>
      <c r="D150" s="1">
        <v>3.666</v>
      </c>
      <c r="E150" s="1">
        <v>3.561</v>
      </c>
      <c r="F150" s="1">
        <v>3.771</v>
      </c>
      <c r="G150" s="1">
        <v>0.47155</v>
      </c>
      <c r="H150" s="1">
        <v>0.77623</v>
      </c>
      <c r="I150" s="1">
        <v>0.357</v>
      </c>
      <c r="J150" s="1">
        <v>0.3176</v>
      </c>
      <c r="K150" s="1">
        <v>0.05099</v>
      </c>
      <c r="L150" s="1">
        <v>0.31472</v>
      </c>
      <c r="M150" s="1">
        <v>1.37769</v>
      </c>
    </row>
    <row r="151">
      <c r="A151" s="1" t="s">
        <v>172</v>
      </c>
      <c r="B151" s="1" t="s">
        <v>87</v>
      </c>
      <c r="C151" s="1">
        <v>150.0</v>
      </c>
      <c r="D151" s="1">
        <v>3.622</v>
      </c>
      <c r="E151" s="1">
        <v>3.463</v>
      </c>
      <c r="F151" s="1">
        <v>3.781</v>
      </c>
      <c r="G151" s="1">
        <v>0.10706</v>
      </c>
      <c r="H151" s="1">
        <v>0.50353</v>
      </c>
      <c r="I151" s="1">
        <v>0.23165</v>
      </c>
      <c r="J151" s="1">
        <v>0.25748</v>
      </c>
      <c r="K151" s="1">
        <v>0.04852</v>
      </c>
      <c r="L151" s="1">
        <v>0.24063</v>
      </c>
      <c r="M151" s="1">
        <v>2.23284</v>
      </c>
    </row>
    <row r="152">
      <c r="A152" s="1" t="s">
        <v>173</v>
      </c>
      <c r="B152" s="1" t="s">
        <v>87</v>
      </c>
      <c r="C152" s="1">
        <v>151.0</v>
      </c>
      <c r="D152" s="1">
        <v>3.607</v>
      </c>
      <c r="E152" s="1">
        <v>3.533</v>
      </c>
      <c r="F152" s="1">
        <v>3.681</v>
      </c>
      <c r="G152" s="1">
        <v>0.22415</v>
      </c>
      <c r="H152" s="1">
        <v>0.3109</v>
      </c>
      <c r="I152" s="1">
        <v>0.18829</v>
      </c>
      <c r="J152" s="1">
        <v>0.30953</v>
      </c>
      <c r="K152" s="1">
        <v>0.1192</v>
      </c>
      <c r="L152" s="1">
        <v>0.29914</v>
      </c>
      <c r="M152" s="1">
        <v>2.15604</v>
      </c>
    </row>
    <row r="153">
      <c r="A153" s="1" t="s">
        <v>174</v>
      </c>
      <c r="B153" s="1" t="s">
        <v>87</v>
      </c>
      <c r="C153" s="1">
        <v>152.0</v>
      </c>
      <c r="D153" s="1">
        <v>3.515</v>
      </c>
      <c r="E153" s="1">
        <v>3.444</v>
      </c>
      <c r="F153" s="1">
        <v>3.586</v>
      </c>
      <c r="G153" s="1">
        <v>0.32846</v>
      </c>
      <c r="H153" s="1">
        <v>0.61586</v>
      </c>
      <c r="I153" s="1">
        <v>0.31865</v>
      </c>
      <c r="J153" s="1">
        <v>0.5432</v>
      </c>
      <c r="K153" s="1">
        <v>0.50521</v>
      </c>
      <c r="L153" s="1">
        <v>0.23552</v>
      </c>
      <c r="M153" s="1">
        <v>0.96819</v>
      </c>
    </row>
    <row r="154">
      <c r="A154" s="1" t="s">
        <v>175</v>
      </c>
      <c r="B154" s="1" t="s">
        <v>87</v>
      </c>
      <c r="C154" s="1">
        <v>153.0</v>
      </c>
      <c r="D154" s="1">
        <v>3.484</v>
      </c>
      <c r="E154" s="1">
        <v>3.404</v>
      </c>
      <c r="F154" s="1">
        <v>3.564</v>
      </c>
      <c r="G154" s="1">
        <v>0.39499</v>
      </c>
      <c r="H154" s="1">
        <v>0.10419</v>
      </c>
      <c r="I154" s="1">
        <v>0.21028</v>
      </c>
      <c r="J154" s="1">
        <v>0.39747</v>
      </c>
      <c r="K154" s="1">
        <v>0.06681</v>
      </c>
      <c r="L154" s="1">
        <v>0.2018</v>
      </c>
      <c r="M154" s="1">
        <v>2.10812</v>
      </c>
    </row>
    <row r="155">
      <c r="A155" s="1" t="s">
        <v>176</v>
      </c>
      <c r="B155" s="1" t="s">
        <v>106</v>
      </c>
      <c r="C155" s="1">
        <v>154.0</v>
      </c>
      <c r="D155" s="1">
        <v>3.36</v>
      </c>
      <c r="E155" s="1">
        <v>3.288</v>
      </c>
      <c r="F155" s="1">
        <v>3.432</v>
      </c>
      <c r="G155" s="1">
        <v>0.38227</v>
      </c>
      <c r="H155" s="1">
        <v>0.11037</v>
      </c>
      <c r="I155" s="1">
        <v>0.17344</v>
      </c>
      <c r="J155" s="1">
        <v>0.1643</v>
      </c>
      <c r="K155" s="1">
        <v>0.07112</v>
      </c>
      <c r="L155" s="1">
        <v>0.31268</v>
      </c>
      <c r="M155" s="1">
        <v>2.14558</v>
      </c>
    </row>
    <row r="156">
      <c r="A156" s="1" t="s">
        <v>177</v>
      </c>
      <c r="B156" s="1" t="s">
        <v>87</v>
      </c>
      <c r="C156" s="1">
        <v>155.0</v>
      </c>
      <c r="D156" s="1">
        <v>3.303</v>
      </c>
      <c r="E156" s="1">
        <v>3.192</v>
      </c>
      <c r="F156" s="1">
        <v>3.414</v>
      </c>
      <c r="G156" s="1">
        <v>0.28123</v>
      </c>
      <c r="H156" s="1">
        <v>0.0</v>
      </c>
      <c r="I156" s="1">
        <v>0.24811</v>
      </c>
      <c r="J156" s="1">
        <v>0.34678</v>
      </c>
      <c r="K156" s="1">
        <v>0.11587</v>
      </c>
      <c r="L156" s="1">
        <v>0.17517</v>
      </c>
      <c r="M156" s="1">
        <v>2.1354</v>
      </c>
    </row>
    <row r="157">
      <c r="A157" s="1" t="s">
        <v>178</v>
      </c>
      <c r="B157" s="1" t="s">
        <v>27</v>
      </c>
      <c r="C157" s="1">
        <v>156.0</v>
      </c>
      <c r="D157" s="1">
        <v>3.069</v>
      </c>
      <c r="E157" s="1">
        <v>2.936</v>
      </c>
      <c r="F157" s="1">
        <v>3.202</v>
      </c>
      <c r="G157" s="1">
        <v>0.74719</v>
      </c>
      <c r="H157" s="1">
        <v>0.14866</v>
      </c>
      <c r="I157" s="1">
        <v>0.62994</v>
      </c>
      <c r="J157" s="1">
        <v>0.06912</v>
      </c>
      <c r="K157" s="1">
        <v>0.17233</v>
      </c>
      <c r="L157" s="1">
        <v>0.48397</v>
      </c>
      <c r="M157" s="1">
        <v>0.81789</v>
      </c>
    </row>
    <row r="158">
      <c r="A158" s="1" t="s">
        <v>179</v>
      </c>
      <c r="B158" s="1" t="s">
        <v>87</v>
      </c>
      <c r="C158" s="1">
        <v>157.0</v>
      </c>
      <c r="D158" s="1">
        <v>2.905</v>
      </c>
      <c r="E158" s="1">
        <v>2.732</v>
      </c>
      <c r="F158" s="1">
        <v>3.078</v>
      </c>
      <c r="G158" s="1">
        <v>0.06831</v>
      </c>
      <c r="H158" s="1">
        <v>0.23442</v>
      </c>
      <c r="I158" s="1">
        <v>0.15747</v>
      </c>
      <c r="J158" s="1">
        <v>0.0432</v>
      </c>
      <c r="K158" s="1">
        <v>0.09419</v>
      </c>
      <c r="L158" s="1">
        <v>0.2029</v>
      </c>
      <c r="M158" s="1">
        <v>2.10404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181</v>
      </c>
      <c r="E2" s="3" t="s">
        <v>182</v>
      </c>
      <c r="H2" s="3" t="s">
        <v>183</v>
      </c>
    </row>
    <row r="3">
      <c r="A3" s="1" t="s">
        <v>184</v>
      </c>
      <c r="C3" s="2">
        <f>MAX(WORKING_DATA!D1:D158)</f>
        <v>7.526</v>
      </c>
      <c r="E3" s="1" t="s">
        <v>185</v>
      </c>
      <c r="F3" s="2">
        <f>MAX(WORKING_DATA!G1:G158)</f>
        <v>1.82427</v>
      </c>
      <c r="H3" s="1" t="s">
        <v>186</v>
      </c>
      <c r="J3" s="2">
        <f>MAX(WORKING_DATA!L1:L158)</f>
        <v>0.81971</v>
      </c>
    </row>
    <row r="4">
      <c r="A4" s="1" t="s">
        <v>187</v>
      </c>
      <c r="C4" s="2">
        <f>MIN(WORKING_DATA!D1:D158)</f>
        <v>2.905</v>
      </c>
      <c r="E4" s="1" t="s">
        <v>188</v>
      </c>
      <c r="F4" s="2">
        <f>MIN(WORKING_DATA!G1:G158)</f>
        <v>0</v>
      </c>
      <c r="H4" s="1" t="s">
        <v>189</v>
      </c>
      <c r="J4" s="1">
        <f>MIN(WORKING_DATA!L1:L158)</f>
        <v>0</v>
      </c>
    </row>
    <row r="5">
      <c r="A5" s="1" t="s">
        <v>190</v>
      </c>
      <c r="C5" s="2">
        <f>COUNTA(WORKING_DATA!D1:D158)-1</f>
        <v>157</v>
      </c>
      <c r="E5" s="1" t="s">
        <v>191</v>
      </c>
      <c r="F5" s="2">
        <f>AVERAGE(WORKING_DATA!D1:D158)</f>
        <v>5.382184713</v>
      </c>
    </row>
    <row r="8">
      <c r="A8" s="3" t="s">
        <v>192</v>
      </c>
      <c r="E8" s="3" t="s">
        <v>193</v>
      </c>
      <c r="I8" s="3" t="s">
        <v>194</v>
      </c>
    </row>
    <row r="9">
      <c r="A9" s="1" t="s">
        <v>195</v>
      </c>
      <c r="C9" s="2">
        <f>MAX(WORKING_DATA!I1:I158)</f>
        <v>0.95277</v>
      </c>
      <c r="E9" s="1" t="s">
        <v>196</v>
      </c>
      <c r="G9" s="2" t="str">
        <f t="array" ref="G9">INDEX(WORKING_DATA!A:A, MATCH(MAX(WORKING_DATA!D1:D158), WORKING_DATA!D:D, 0))</f>
        <v>Denmark</v>
      </c>
      <c r="I9" s="1" t="s">
        <v>185</v>
      </c>
      <c r="J9" s="2" t="str">
        <f t="array" ref="J9">INDEX(WORKING_DATA!A1:A158, MATCH(MAX(WORKING_DATA!G1:G158), WORKING_DATA!G1:G158, 0))</f>
        <v>Qatar</v>
      </c>
    </row>
    <row r="10">
      <c r="A10" s="1" t="s">
        <v>197</v>
      </c>
      <c r="C10" s="2">
        <f>MIN(WORKING_DATA!I1:I158)</f>
        <v>0</v>
      </c>
      <c r="E10" s="1" t="s">
        <v>198</v>
      </c>
      <c r="G10" s="2" t="str">
        <f t="array" ref="G10">INDEX(WORKING_DATA!A:A, MATCH(MIN(WORKING_DATA!D1:D158), WORKING_DATA!D1:D158, 0))</f>
        <v>Burundi</v>
      </c>
      <c r="I10" s="1" t="s">
        <v>188</v>
      </c>
      <c r="J10" s="2" t="str">
        <f t="array" ref="J10">INDEX(WORKING_DATA!A1:A158, MATCH(MIN(WORKING_DATA!G1:G158), WORKING_DATA!G1:G158, 0))</f>
        <v>Somalia</v>
      </c>
    </row>
    <row r="13">
      <c r="A13" s="3" t="s">
        <v>199</v>
      </c>
      <c r="E13" s="3" t="s">
        <v>200</v>
      </c>
    </row>
    <row r="14">
      <c r="A14" s="1" t="s">
        <v>195</v>
      </c>
      <c r="C14" s="2" t="str">
        <f t="array" ref="C14">INDEX(WORKING_DATA!A1:A158, MATCH(MAX(WORKING_DATA!I1:I158), WORKING_DATA!I1:I158, 0))</f>
        <v>Hong Kong</v>
      </c>
      <c r="E14" s="1" t="s">
        <v>201</v>
      </c>
      <c r="G14" s="2" t="str">
        <f t="array" ref="G14">INDEX(WORKING_DATA!A1:A158, MATCH(MAX(WORKING_DATA!L1:L158), WORKING_DATA!L1:L158, 0))</f>
        <v>Myanmar</v>
      </c>
    </row>
    <row r="15">
      <c r="A15" s="1" t="s">
        <v>202</v>
      </c>
      <c r="C15" s="2" t="str">
        <f t="array" ref="C15">INDEX(WORKING_DATA!A1:A158, MATCH(MIN(WORKING_DATA!I1:I158), WORKING_DATA!I1:I158, 0))</f>
        <v>Sierra Leone</v>
      </c>
      <c r="E15" s="1" t="s">
        <v>203</v>
      </c>
      <c r="G15" s="2" t="str">
        <f t="array" ref="G15">INDEX(WORKING_DATA!A1:A158, MATCH(MIN(WORKING_DATA!L1:L158), WORKING_DATA!L1:L158, 0))</f>
        <v>Greece</v>
      </c>
    </row>
    <row r="18">
      <c r="B18" s="3" t="s">
        <v>204</v>
      </c>
      <c r="H18" s="3" t="s">
        <v>205</v>
      </c>
    </row>
    <row r="20">
      <c r="A20" s="4" t="s">
        <v>206</v>
      </c>
      <c r="D20" s="4" t="s">
        <v>207</v>
      </c>
    </row>
    <row r="21">
      <c r="A21" s="1" t="s">
        <v>208</v>
      </c>
      <c r="D21" s="2">
        <f>AVERAGEIF(WORKING_DATA!B1:B158, "Western Europe", WORKING_DATA!D1:D158)</f>
        <v>6.685666667</v>
      </c>
    </row>
    <row r="22">
      <c r="A22" s="1" t="s">
        <v>209</v>
      </c>
      <c r="D22" s="2">
        <f>AVERAGEIF(WORKING_DATA!B1:B158, "Australia and New Zealand", WORKING_DATA!D1:D158)</f>
        <v>7.3235</v>
      </c>
    </row>
    <row r="23">
      <c r="A23" s="1" t="s">
        <v>210</v>
      </c>
      <c r="D23" s="2">
        <f>AVERAGEIF(WORKING_DATA!B1:B158, "Sub-Saharan Africa", WORKING_DATA!D1:D158)</f>
        <v>4.136421053</v>
      </c>
    </row>
    <row r="24">
      <c r="A24" s="1" t="s">
        <v>211</v>
      </c>
      <c r="D24" s="2">
        <f>AVERAGEIF(WORKING_DATA!B1:B158, "North America", WORKING_DATA!D1:D158)</f>
        <v>7.254</v>
      </c>
    </row>
    <row r="25">
      <c r="A25" s="1" t="s">
        <v>212</v>
      </c>
      <c r="D25" s="2">
        <f>AVERAGEIF(WORKING_DATA!B1:B158, "Southern Asia", WORKING_DATA!D1:D158)</f>
        <v>4.563285714</v>
      </c>
    </row>
    <row r="26">
      <c r="A26" s="1" t="s">
        <v>213</v>
      </c>
      <c r="D26" s="2">
        <f>AVERAGEIF(WORKING_DATA!B1:B158, "Middle East and Northern Africa", WORKING_DATA!D1:D158)</f>
        <v>5.386052632</v>
      </c>
    </row>
    <row r="27">
      <c r="A27" s="1" t="s">
        <v>214</v>
      </c>
      <c r="D27" s="2">
        <f>AVERAGEIF(WORKING_DATA!B1:B158, "Latin America and Caribbean", WORKING_DATA!D1:D158)</f>
        <v>6.10175</v>
      </c>
    </row>
    <row r="28">
      <c r="A28" s="1" t="s">
        <v>215</v>
      </c>
      <c r="D28" s="2">
        <f>AVERAGEIF(WORKING_DATA!B1:B158, "Central and Eastern Europe", WORKING_DATA!D1:D158)</f>
        <v>5.370689655</v>
      </c>
    </row>
    <row r="29">
      <c r="A29" s="1" t="s">
        <v>216</v>
      </c>
      <c r="D29" s="2">
        <f>AVERAGEIF(WORKING_DATA!B1:B158, "Southeastern Asia", WORKING_DATA!D1:D158)</f>
        <v>5.338888889</v>
      </c>
    </row>
    <row r="30">
      <c r="A30" s="1" t="s">
        <v>217</v>
      </c>
      <c r="D30" s="2">
        <f>AVERAGEIF(WORKING_DATA!B1:B158, "Eastern Asia", WORKING_DATA!D1:D158)</f>
        <v>5.624166667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5" t="s">
        <v>205</v>
      </c>
      <c r="J2" s="3" t="s">
        <v>218</v>
      </c>
    </row>
    <row r="4"/>
    <row r="5"/>
    <row r="6"/>
    <row r="7"/>
    <row r="8"/>
    <row r="9"/>
    <row r="10"/>
    <row r="11"/>
    <row r="12"/>
    <row r="13"/>
    <row r="14"/>
  </sheetData>
  <drawing r:id="rId2"/>
</worksheet>
</file>